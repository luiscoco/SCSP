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5" windowWidth="18795" windowHeight="8700" tabRatio="293"/>
  </bookViews>
  <sheets>
    <sheet name="INPUT" sheetId="1" r:id="rId1"/>
    <sheet name="OUTPUT Longitudinale" sheetId="2" r:id="rId2"/>
    <sheet name="Hoja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B13" i="1" l="1"/>
  <c r="C30" i="1"/>
  <c r="C28" i="1"/>
</calcChain>
</file>

<file path=xl/sharedStrings.xml><?xml version="1.0" encoding="utf-8"?>
<sst xmlns="http://schemas.openxmlformats.org/spreadsheetml/2006/main" count="88" uniqueCount="69">
  <si>
    <t>CO2</t>
  </si>
  <si>
    <t>m (kg/s)</t>
  </si>
  <si>
    <t>L_tot (m)</t>
  </si>
  <si>
    <t>apertura (m) (Longitud Apertura)</t>
  </si>
  <si>
    <t>v_6 (m/s) (Velocidad Viento)</t>
  </si>
  <si>
    <t>DNI (W/m2) (Radiación Directa Normal Incidente)</t>
  </si>
  <si>
    <t>T_amb (K) (Temperatura Ambiente)</t>
  </si>
  <si>
    <t>D5 (m) (Diámetro Exterior Envoltura Vidrio)</t>
  </si>
  <si>
    <t>D4 (m) (Diámetro Interior Envoltura Vidrio)</t>
  </si>
  <si>
    <t>D2 (m) (Diámetro Interior Tubo Absorbedor)</t>
  </si>
  <si>
    <t>D3 (m) (Diámetro Exterior Turbo Absorbedor)</t>
  </si>
  <si>
    <t>T_in (K) (Temperatura de Entrada)</t>
  </si>
  <si>
    <t>P_in (MPa) (Presión de Entrada)</t>
  </si>
  <si>
    <t>eta_ott (Eficiencia Óptica Nominal)</t>
  </si>
  <si>
    <t>n_loop (Nº de Lazos)</t>
  </si>
  <si>
    <t>N_tramos (Nº de Tramos de cada Lazo)</t>
  </si>
  <si>
    <t>rugosità_piping (m) (Rugosidad Tuberías)</t>
  </si>
  <si>
    <t>fluido (Tipo de Fluido)</t>
  </si>
  <si>
    <t>SM (Múltiplo Solar)</t>
  </si>
  <si>
    <t>T_in (K) (Temperatura Entrada)</t>
  </si>
  <si>
    <t>P_in (MPa) (Presión Entrada)</t>
  </si>
  <si>
    <t>T_out (K) (Temperatura Salida)</t>
  </si>
  <si>
    <t>P_out (MPa) (Presión Salida)</t>
  </si>
  <si>
    <r>
      <rPr>
        <sz val="11"/>
        <color theme="1"/>
        <rFont val="Calibri"/>
        <family val="2"/>
        <scheme val="minor"/>
      </rPr>
      <t>Un Solo Lazo con N Tramos:</t>
    </r>
    <r>
      <rPr>
        <b/>
        <sz val="11"/>
        <color rgb="FF00B050"/>
        <rFont val="Calibri"/>
        <family val="2"/>
        <scheme val="minor"/>
      </rPr>
      <t xml:space="preserve">
Input per longitudinale_vba()</t>
    </r>
  </si>
  <si>
    <t>N_sez_campo (Nº Secciones/Grupos de Lazos)</t>
  </si>
  <si>
    <t>Un Solo Lazo</t>
  </si>
  <si>
    <t>ºC</t>
  </si>
  <si>
    <t>Nº Tramo</t>
  </si>
  <si>
    <t>T2</t>
  </si>
  <si>
    <t>T3</t>
  </si>
  <si>
    <t>T4</t>
  </si>
  <si>
    <t>T5</t>
  </si>
  <si>
    <t xml:space="preserve">Tentrada </t>
  </si>
  <si>
    <t xml:space="preserve">Tmedia </t>
  </si>
  <si>
    <t>Tsalida</t>
  </si>
  <si>
    <t>Qperdido</t>
  </si>
  <si>
    <t>Effic. Térmica</t>
  </si>
  <si>
    <t>Veloc.Media</t>
  </si>
  <si>
    <t>P.Entrada</t>
  </si>
  <si>
    <t>P.Media</t>
  </si>
  <si>
    <t>P.Salida</t>
  </si>
  <si>
    <t>Kelvin</t>
  </si>
  <si>
    <t>Kelving</t>
  </si>
  <si>
    <t>W/m</t>
  </si>
  <si>
    <t>%</t>
  </si>
  <si>
    <t>m/s</t>
  </si>
  <si>
    <t>MPa</t>
  </si>
  <si>
    <r>
      <t>Resultados de Un Solo Lazo</t>
    </r>
    <r>
      <rPr>
        <sz val="12"/>
        <color theme="1"/>
        <rFont val="Arial"/>
        <family val="2"/>
      </rPr>
      <t xml:space="preserve"> (con N Tramos para cálculo por diferencias finitas longitudinalmente)</t>
    </r>
  </si>
  <si>
    <t>Estos dos datos en "Amarillo" son salidas del programa</t>
  </si>
  <si>
    <t>bar</t>
  </si>
  <si>
    <t>L_tramo(m)</t>
  </si>
  <si>
    <t>s_abs (m) (Espesor Tubo Absorbedor)</t>
  </si>
  <si>
    <t>Q12conv</t>
  </si>
  <si>
    <t>Q23cond</t>
  </si>
  <si>
    <t>Q34conv</t>
  </si>
  <si>
    <t>Q34rad</t>
  </si>
  <si>
    <t>Q45cond</t>
  </si>
  <si>
    <t>Q56conv</t>
  </si>
  <si>
    <t>Q57rad</t>
  </si>
  <si>
    <t>Q34conv+Q34rad+Qcond_brac</t>
  </si>
  <si>
    <t>Qcond_brac</t>
  </si>
  <si>
    <t>alfa_env (Absortancia Envolvente Vidrio)</t>
  </si>
  <si>
    <t>alfa_abs (Absortancia Tubo Absorbedor)</t>
  </si>
  <si>
    <t>tau_env (Transmitancia Envolvente Vidrio)</t>
  </si>
  <si>
    <t>eps_glass (Emisividad Vidrio Envolvente)</t>
  </si>
  <si>
    <t>S_tot (m2) (Area apertura efectiva)</t>
  </si>
  <si>
    <t>OUTPUTS to E-Link</t>
  </si>
  <si>
    <t>AP (bar)</t>
  </si>
  <si>
    <t>Q thermal (MW)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</si>
</sst>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&quot;€&quot;\ * #,##0.00_-;\-&quot;€&quot;\ * #,##0.00_-;_-&quot;€&quot;\ * &quot;-&quot;??_-;_-@_-"/>
    <numFmt numFmtId="165" formatCode="0.0000"/>
    <numFmt numFmtId="166" formatCode="0.000"/>
    <numFmt numFmtId="167" formatCode="0.0000000"/>
    <numFmt numFmtId="168" formatCode="0.0"/>
  </numFmts>
  <fonts count="20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0"/>
      <name val="Arial"/>
      <family val="2"/>
    </font>
    <font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</font>
    <font>
      <sz val="10"/>
      <color rgb="FF000000"/>
      <name val="Arial"/>
      <family val="2"/>
    </font>
    <font>
      <b/>
      <sz val="12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sz val="12"/>
      <color theme="1"/>
      <name val="Arial"/>
      <family val="2"/>
    </font>
    <font>
      <b/>
      <sz val="14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9FF33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5">
    <xf numFmtId="0" fontId="0" fillId="0" borderId="0"/>
    <xf numFmtId="0" fontId="6" fillId="0" borderId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11" fillId="0" borderId="0"/>
  </cellStyleXfs>
  <cellXfs count="52">
    <xf numFmtId="0" fontId="0" fillId="0" borderId="0" xfId="0"/>
    <xf numFmtId="0" fontId="6" fillId="0" borderId="0" xfId="1"/>
    <xf numFmtId="0" fontId="6" fillId="0" borderId="1" xfId="1" applyBorder="1"/>
    <xf numFmtId="0" fontId="6" fillId="0" borderId="0" xfId="1" applyBorder="1"/>
    <xf numFmtId="165" fontId="6" fillId="0" borderId="0" xfId="1" applyNumberFormat="1" applyBorder="1"/>
    <xf numFmtId="165" fontId="6" fillId="0" borderId="0" xfId="1" applyNumberFormat="1"/>
    <xf numFmtId="165" fontId="6" fillId="0" borderId="1" xfId="1" applyNumberFormat="1" applyBorder="1"/>
    <xf numFmtId="0" fontId="6" fillId="0" borderId="0" xfId="1" applyFill="1" applyBorder="1"/>
    <xf numFmtId="2" fontId="6" fillId="0" borderId="1" xfId="1" applyNumberFormat="1" applyBorder="1"/>
    <xf numFmtId="0" fontId="10" fillId="0" borderId="0" xfId="1" applyFont="1" applyAlignment="1">
      <alignment horizontal="center"/>
    </xf>
    <xf numFmtId="166" fontId="6" fillId="0" borderId="1" xfId="1" applyNumberFormat="1" applyFill="1" applyBorder="1"/>
    <xf numFmtId="166" fontId="6" fillId="0" borderId="0" xfId="1" applyNumberFormat="1"/>
    <xf numFmtId="0" fontId="7" fillId="0" borderId="0" xfId="1" applyFont="1" applyBorder="1"/>
    <xf numFmtId="0" fontId="12" fillId="0" borderId="0" xfId="1" applyFont="1" applyBorder="1"/>
    <xf numFmtId="165" fontId="12" fillId="0" borderId="0" xfId="1" applyNumberFormat="1" applyFont="1" applyBorder="1"/>
    <xf numFmtId="0" fontId="13" fillId="0" borderId="0" xfId="1" applyFont="1" applyBorder="1"/>
    <xf numFmtId="0" fontId="5" fillId="0" borderId="1" xfId="1" applyFont="1" applyFill="1" applyBorder="1"/>
    <xf numFmtId="0" fontId="5" fillId="0" borderId="1" xfId="1" applyFont="1" applyBorder="1"/>
    <xf numFmtId="0" fontId="15" fillId="0" borderId="0" xfId="0" applyFont="1"/>
    <xf numFmtId="0" fontId="6" fillId="0" borderId="0" xfId="1" applyFont="1" applyFill="1" applyBorder="1"/>
    <xf numFmtId="0" fontId="8" fillId="0" borderId="0" xfId="1" applyFont="1" applyBorder="1"/>
    <xf numFmtId="165" fontId="8" fillId="0" borderId="0" xfId="1" applyNumberFormat="1" applyFont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6" fillId="0" borderId="6" xfId="0" applyFont="1" applyBorder="1"/>
    <xf numFmtId="0" fontId="17" fillId="0" borderId="8" xfId="0" applyFont="1" applyBorder="1"/>
    <xf numFmtId="0" fontId="19" fillId="0" borderId="0" xfId="0" applyFont="1"/>
    <xf numFmtId="165" fontId="4" fillId="0" borderId="0" xfId="1" applyNumberFormat="1" applyFont="1"/>
    <xf numFmtId="0" fontId="4" fillId="0" borderId="1" xfId="1" applyFont="1" applyBorder="1"/>
    <xf numFmtId="0" fontId="0" fillId="2" borderId="6" xfId="0" applyFill="1" applyBorder="1"/>
    <xf numFmtId="0" fontId="0" fillId="2" borderId="7" xfId="0" applyFill="1" applyBorder="1"/>
    <xf numFmtId="2" fontId="6" fillId="0" borderId="0" xfId="1" applyNumberFormat="1"/>
    <xf numFmtId="168" fontId="6" fillId="0" borderId="0" xfId="1" applyNumberFormat="1"/>
    <xf numFmtId="0" fontId="3" fillId="0" borderId="1" xfId="1" applyFont="1" applyBorder="1"/>
    <xf numFmtId="0" fontId="3" fillId="0" borderId="1" xfId="1" applyFont="1" applyFill="1" applyBorder="1"/>
    <xf numFmtId="166" fontId="6" fillId="3" borderId="1" xfId="1" applyNumberFormat="1" applyFill="1" applyBorder="1"/>
    <xf numFmtId="168" fontId="6" fillId="3" borderId="1" xfId="1" applyNumberFormat="1" applyFill="1" applyBorder="1"/>
    <xf numFmtId="166" fontId="6" fillId="4" borderId="1" xfId="1" applyNumberFormat="1" applyFill="1" applyBorder="1"/>
    <xf numFmtId="1" fontId="6" fillId="4" borderId="1" xfId="1" applyNumberFormat="1" applyFill="1" applyBorder="1"/>
    <xf numFmtId="1" fontId="6" fillId="3" borderId="1" xfId="1" applyNumberFormat="1" applyFill="1" applyBorder="1"/>
    <xf numFmtId="167" fontId="6" fillId="3" borderId="1" xfId="1" applyNumberFormat="1" applyFill="1" applyBorder="1"/>
    <xf numFmtId="0" fontId="6" fillId="4" borderId="1" xfId="1" applyFill="1" applyBorder="1" applyAlignment="1">
      <alignment horizontal="right"/>
    </xf>
    <xf numFmtId="165" fontId="6" fillId="3" borderId="1" xfId="1" applyNumberFormat="1" applyFill="1" applyBorder="1"/>
    <xf numFmtId="168" fontId="2" fillId="3" borderId="1" xfId="1" applyNumberFormat="1" applyFont="1" applyFill="1" applyBorder="1"/>
    <xf numFmtId="2" fontId="6" fillId="3" borderId="1" xfId="1" applyNumberFormat="1" applyFill="1" applyBorder="1"/>
    <xf numFmtId="0" fontId="9" fillId="0" borderId="2" xfId="1" applyFont="1" applyBorder="1" applyAlignment="1">
      <alignment horizontal="center" vertical="center" wrapText="1"/>
    </xf>
    <xf numFmtId="0" fontId="9" fillId="0" borderId="3" xfId="1" applyFont="1" applyBorder="1" applyAlignment="1">
      <alignment horizontal="center" vertical="center" wrapText="1"/>
    </xf>
    <xf numFmtId="0" fontId="9" fillId="0" borderId="4" xfId="1" applyFont="1" applyBorder="1" applyAlignment="1">
      <alignment horizontal="center" vertical="center" wrapText="1"/>
    </xf>
    <xf numFmtId="0" fontId="9" fillId="0" borderId="5" xfId="1" applyFont="1" applyBorder="1" applyAlignment="1">
      <alignment horizontal="center" vertical="center" wrapText="1"/>
    </xf>
    <xf numFmtId="0" fontId="10" fillId="0" borderId="0" xfId="1" applyFont="1" applyBorder="1" applyAlignment="1">
      <alignment horizontal="center" vertical="center" wrapText="1"/>
    </xf>
    <xf numFmtId="0" fontId="8" fillId="0" borderId="1" xfId="1" applyFont="1" applyBorder="1" applyAlignment="1">
      <alignment horizontal="center"/>
    </xf>
  </cellXfs>
  <cellStyles count="5">
    <cellStyle name="Moneda 2" xfId="3"/>
    <cellStyle name="Normal" xfId="0" builtinId="0"/>
    <cellStyle name="Normal 2" xfId="1"/>
    <cellStyle name="Normale 2" xfId="4"/>
    <cellStyle name="Porcentual 2" xfId="2"/>
  </cellStyles>
  <dxfs count="0"/>
  <tableStyles count="0" defaultTableStyle="TableStyleMedium9" defaultPivotStyle="PivotStyleLight16"/>
  <colors>
    <mruColors>
      <color rgb="FF99FF33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25399</xdr:colOff>
      <xdr:row>0</xdr:row>
      <xdr:rowOff>25400</xdr:rowOff>
    </xdr:from>
    <xdr:to>
      <xdr:col>16</xdr:col>
      <xdr:colOff>556941</xdr:colOff>
      <xdr:row>56</xdr:row>
      <xdr:rowOff>76200</xdr:rowOff>
    </xdr:to>
    <xdr:pic>
      <xdr:nvPicPr>
        <xdr:cNvPr id="1027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378699" y="25400"/>
          <a:ext cx="8710342" cy="10134600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6</xdr:row>
          <xdr:rowOff>0</xdr:rowOff>
        </xdr:from>
        <xdr:to>
          <xdr:col>4</xdr:col>
          <xdr:colOff>9525</xdr:colOff>
          <xdr:row>8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 solo Lazo en N Tramos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28575</xdr:colOff>
      <xdr:row>38</xdr:row>
      <xdr:rowOff>79620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5362575" cy="623277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33"/>
  <sheetViews>
    <sheetView tabSelected="1" zoomScale="75" zoomScaleNormal="75" workbookViewId="0">
      <selection activeCell="C1" sqref="C1"/>
    </sheetView>
  </sheetViews>
  <sheetFormatPr baseColWidth="10" defaultRowHeight="12.75" x14ac:dyDescent="0.2"/>
  <cols>
    <col min="1" max="1" width="44.5703125" customWidth="1"/>
    <col min="2" max="2" width="16.140625" customWidth="1"/>
    <col min="4" max="4" width="17.5703125" customWidth="1"/>
    <col min="7" max="7" width="19.85546875" customWidth="1"/>
  </cols>
  <sheetData>
    <row r="1" spans="1:10" ht="15" x14ac:dyDescent="0.25">
      <c r="A1" s="17" t="s">
        <v>11</v>
      </c>
      <c r="B1" s="36">
        <v>498</v>
      </c>
      <c r="C1" s="1"/>
      <c r="D1" s="46" t="s">
        <v>23</v>
      </c>
      <c r="E1" s="47"/>
      <c r="F1" s="1"/>
      <c r="G1" s="1"/>
      <c r="H1" s="1"/>
      <c r="I1" s="1"/>
      <c r="J1" s="1"/>
    </row>
    <row r="2" spans="1:10" ht="15" x14ac:dyDescent="0.25">
      <c r="A2" s="17" t="s">
        <v>12</v>
      </c>
      <c r="B2" s="44">
        <v>10</v>
      </c>
      <c r="C2" s="1"/>
      <c r="D2" s="48"/>
      <c r="E2" s="49"/>
      <c r="F2" s="1"/>
      <c r="G2" s="1"/>
      <c r="H2" s="1"/>
      <c r="I2" s="1"/>
      <c r="J2" s="1"/>
    </row>
    <row r="3" spans="1:10" ht="15" x14ac:dyDescent="0.25">
      <c r="A3" s="17" t="s">
        <v>10</v>
      </c>
      <c r="B3" s="36">
        <v>7.0000000000000007E-2</v>
      </c>
      <c r="C3" s="1"/>
      <c r="D3" s="2" t="s">
        <v>1</v>
      </c>
      <c r="E3" s="8">
        <v>1.3</v>
      </c>
      <c r="F3" s="1"/>
      <c r="G3" s="1"/>
      <c r="H3" s="1"/>
      <c r="I3" s="1"/>
      <c r="J3" s="1"/>
    </row>
    <row r="4" spans="1:10" ht="15" x14ac:dyDescent="0.25">
      <c r="A4" s="29" t="s">
        <v>51</v>
      </c>
      <c r="B4" s="36">
        <v>6.0000000000000001E-3</v>
      </c>
      <c r="C4" s="1"/>
      <c r="D4" s="2" t="s">
        <v>2</v>
      </c>
      <c r="E4" s="6">
        <v>90</v>
      </c>
      <c r="F4" s="1"/>
      <c r="G4" s="1"/>
      <c r="H4" s="1"/>
      <c r="I4" s="1"/>
      <c r="J4" s="1"/>
    </row>
    <row r="5" spans="1:10" ht="15" x14ac:dyDescent="0.25">
      <c r="A5" s="17" t="s">
        <v>9</v>
      </c>
      <c r="B5" s="36">
        <v>5.8000000000000003E-2</v>
      </c>
      <c r="C5" s="1"/>
      <c r="D5" s="29" t="s">
        <v>50</v>
      </c>
      <c r="E5" s="6">
        <v>5</v>
      </c>
      <c r="F5" s="1"/>
      <c r="G5" s="1"/>
      <c r="H5" s="1"/>
      <c r="I5" s="1"/>
      <c r="J5" s="1"/>
    </row>
    <row r="6" spans="1:10" ht="15" x14ac:dyDescent="0.25">
      <c r="A6" s="17" t="s">
        <v>8</v>
      </c>
      <c r="B6" s="36">
        <v>0.11899999999999999</v>
      </c>
      <c r="C6" s="1"/>
      <c r="D6" s="1"/>
      <c r="E6" s="1"/>
      <c r="F6" s="1"/>
      <c r="G6" s="1"/>
      <c r="H6" s="1"/>
      <c r="I6" s="1"/>
      <c r="J6" s="1"/>
    </row>
    <row r="7" spans="1:10" ht="15" x14ac:dyDescent="0.25">
      <c r="A7" s="17" t="s">
        <v>7</v>
      </c>
      <c r="B7" s="36">
        <v>0.125</v>
      </c>
      <c r="C7" s="1"/>
      <c r="D7" s="50"/>
      <c r="E7" s="50"/>
      <c r="F7" s="1"/>
      <c r="G7" s="1"/>
      <c r="H7" s="1"/>
      <c r="I7" s="1"/>
      <c r="J7" s="1"/>
    </row>
    <row r="8" spans="1:10" ht="15" x14ac:dyDescent="0.25">
      <c r="A8" s="17" t="s">
        <v>6</v>
      </c>
      <c r="B8" s="37">
        <v>303</v>
      </c>
      <c r="C8" s="1"/>
      <c r="D8" s="50"/>
      <c r="E8" s="50"/>
      <c r="F8" s="1"/>
      <c r="G8" s="1"/>
      <c r="H8" s="1"/>
      <c r="I8" s="1"/>
      <c r="J8" s="1"/>
    </row>
    <row r="9" spans="1:10" ht="15" x14ac:dyDescent="0.25">
      <c r="A9" s="17" t="s">
        <v>4</v>
      </c>
      <c r="B9" s="37">
        <v>0</v>
      </c>
      <c r="C9" s="1"/>
      <c r="D9" s="3"/>
      <c r="E9" s="4"/>
      <c r="F9" s="1"/>
      <c r="G9" s="1"/>
      <c r="H9" s="1"/>
      <c r="I9" s="1"/>
      <c r="J9" s="1"/>
    </row>
    <row r="10" spans="1:10" ht="15" x14ac:dyDescent="0.25">
      <c r="A10" s="17" t="s">
        <v>5</v>
      </c>
      <c r="B10" s="37">
        <v>900</v>
      </c>
      <c r="C10" s="1"/>
      <c r="D10" s="34" t="s">
        <v>66</v>
      </c>
      <c r="E10" s="6"/>
      <c r="F10" s="1"/>
      <c r="G10" s="1"/>
      <c r="H10" s="1"/>
      <c r="I10" s="1"/>
      <c r="J10" s="1"/>
    </row>
    <row r="11" spans="1:10" ht="15" x14ac:dyDescent="0.25">
      <c r="A11" s="17" t="s">
        <v>3</v>
      </c>
      <c r="B11" s="36">
        <v>5.76</v>
      </c>
      <c r="C11" s="1"/>
      <c r="D11" s="35" t="s">
        <v>68</v>
      </c>
      <c r="E11" s="6"/>
      <c r="F11" s="1"/>
      <c r="G11" s="1"/>
      <c r="H11" s="1"/>
      <c r="I11" s="1"/>
      <c r="J11" s="1"/>
    </row>
    <row r="12" spans="1:10" ht="15" x14ac:dyDescent="0.25">
      <c r="A12" s="17" t="s">
        <v>13</v>
      </c>
      <c r="B12" s="36">
        <v>0.78</v>
      </c>
      <c r="C12" s="1"/>
      <c r="D12" s="35" t="s">
        <v>67</v>
      </c>
      <c r="E12" s="6"/>
      <c r="F12" s="1"/>
      <c r="G12" s="1"/>
      <c r="H12" s="1"/>
      <c r="I12" s="1"/>
      <c r="J12" s="1"/>
    </row>
    <row r="13" spans="1:10" ht="15" x14ac:dyDescent="0.25">
      <c r="A13" s="29" t="s">
        <v>65</v>
      </c>
      <c r="B13" s="38">
        <f>E4*B11</f>
        <v>518.4</v>
      </c>
      <c r="C13" s="1"/>
      <c r="F13" s="1"/>
      <c r="G13" s="1"/>
      <c r="H13" s="1"/>
      <c r="I13" s="1"/>
      <c r="J13" s="1"/>
    </row>
    <row r="14" spans="1:10" ht="15" x14ac:dyDescent="0.25">
      <c r="A14" s="17" t="s">
        <v>14</v>
      </c>
      <c r="B14" s="39">
        <v>1</v>
      </c>
      <c r="C14" s="1"/>
      <c r="D14" s="7"/>
      <c r="E14" s="4"/>
      <c r="F14" s="1"/>
      <c r="G14" s="1"/>
      <c r="H14" s="1"/>
      <c r="I14" s="1"/>
      <c r="J14" s="1"/>
    </row>
    <row r="15" spans="1:10" ht="15" x14ac:dyDescent="0.25">
      <c r="A15" s="29" t="s">
        <v>64</v>
      </c>
      <c r="B15" s="36">
        <v>0.86</v>
      </c>
      <c r="C15" s="1"/>
      <c r="D15" s="19"/>
      <c r="E15" s="4"/>
      <c r="F15" s="5"/>
      <c r="G15" s="1"/>
      <c r="H15" s="1"/>
      <c r="I15" s="1"/>
      <c r="J15" s="1"/>
    </row>
    <row r="16" spans="1:10" ht="15" x14ac:dyDescent="0.25">
      <c r="A16" s="29" t="s">
        <v>61</v>
      </c>
      <c r="B16" s="36">
        <v>0.02</v>
      </c>
      <c r="C16" s="1"/>
      <c r="D16" s="19"/>
      <c r="E16" s="4"/>
      <c r="F16" s="1"/>
      <c r="G16" s="9"/>
      <c r="H16" s="1"/>
      <c r="I16" s="1"/>
      <c r="J16" s="1"/>
    </row>
    <row r="17" spans="1:12" ht="15" x14ac:dyDescent="0.25">
      <c r="A17" s="29" t="s">
        <v>62</v>
      </c>
      <c r="B17" s="36">
        <v>0.95499999999999996</v>
      </c>
      <c r="C17" s="1"/>
      <c r="D17" s="7"/>
      <c r="E17" s="4"/>
      <c r="F17" s="1"/>
      <c r="G17" s="1"/>
      <c r="H17" s="1"/>
      <c r="I17" s="1"/>
      <c r="J17" s="1"/>
      <c r="K17" s="1"/>
      <c r="L17" s="1"/>
    </row>
    <row r="18" spans="1:12" ht="15" x14ac:dyDescent="0.25">
      <c r="A18" s="29" t="s">
        <v>63</v>
      </c>
      <c r="B18" s="36">
        <v>0.96</v>
      </c>
      <c r="C18" s="1"/>
      <c r="D18" s="3"/>
      <c r="E18" s="4"/>
      <c r="F18" s="1"/>
      <c r="G18" s="1"/>
      <c r="H18" s="1"/>
      <c r="I18" s="1"/>
      <c r="J18" s="1"/>
      <c r="K18" s="1"/>
      <c r="L18" s="1"/>
    </row>
    <row r="19" spans="1:12" ht="15" x14ac:dyDescent="0.25">
      <c r="A19" s="16" t="s">
        <v>15</v>
      </c>
      <c r="B19" s="40">
        <v>1</v>
      </c>
      <c r="C19" s="1"/>
      <c r="D19" s="3"/>
      <c r="E19" s="4"/>
      <c r="F19" s="1"/>
      <c r="G19" s="1"/>
      <c r="H19" s="1"/>
      <c r="I19" s="1"/>
      <c r="J19" s="1"/>
      <c r="K19" s="1"/>
      <c r="L19" s="11"/>
    </row>
    <row r="20" spans="1:12" ht="15" x14ac:dyDescent="0.25">
      <c r="A20" s="16" t="s">
        <v>24</v>
      </c>
      <c r="B20" s="10">
        <v>1</v>
      </c>
      <c r="C20" s="1"/>
      <c r="D20" s="3"/>
      <c r="E20" s="4"/>
      <c r="F20" s="1"/>
      <c r="G20" s="1"/>
      <c r="H20" s="1"/>
      <c r="I20" s="1"/>
      <c r="J20" s="1"/>
      <c r="K20" s="1"/>
      <c r="L20" s="1"/>
    </row>
    <row r="21" spans="1:12" ht="15" x14ac:dyDescent="0.25">
      <c r="A21" s="16" t="s">
        <v>16</v>
      </c>
      <c r="B21" s="41">
        <v>4.57E-5</v>
      </c>
      <c r="C21" s="1"/>
      <c r="D21" s="3"/>
      <c r="E21" s="4"/>
      <c r="F21" s="1"/>
      <c r="G21" s="1"/>
      <c r="H21" s="1"/>
      <c r="I21" s="1"/>
      <c r="J21" s="1"/>
      <c r="K21" s="1"/>
      <c r="L21" s="1"/>
    </row>
    <row r="22" spans="1:12" ht="15" x14ac:dyDescent="0.25">
      <c r="A22" s="16" t="s">
        <v>17</v>
      </c>
      <c r="B22" s="42" t="s">
        <v>0</v>
      </c>
      <c r="C22" s="1"/>
      <c r="D22" s="20"/>
      <c r="E22" s="21"/>
      <c r="F22" s="1"/>
      <c r="G22" s="1"/>
      <c r="H22" s="1"/>
      <c r="I22" s="1"/>
      <c r="J22" s="1"/>
      <c r="K22" s="1"/>
      <c r="L22" s="1"/>
    </row>
    <row r="23" spans="1:12" ht="15" x14ac:dyDescent="0.25">
      <c r="A23" s="16" t="s">
        <v>18</v>
      </c>
      <c r="B23" s="37">
        <v>1</v>
      </c>
      <c r="C23" s="1"/>
      <c r="D23" s="20"/>
      <c r="E23" s="21"/>
      <c r="F23" s="1"/>
      <c r="G23" s="1"/>
      <c r="H23" s="1"/>
      <c r="I23" s="1"/>
      <c r="J23" s="1"/>
      <c r="K23" s="1"/>
      <c r="L23" s="1"/>
    </row>
    <row r="24" spans="1:12" ht="15" x14ac:dyDescent="0.25">
      <c r="A24" s="1"/>
      <c r="B24" s="1"/>
      <c r="C24" s="1"/>
      <c r="D24" s="1"/>
      <c r="E24" s="5"/>
      <c r="F24" s="1"/>
      <c r="G24" s="1"/>
      <c r="H24" s="1"/>
      <c r="I24" s="1"/>
      <c r="J24" s="1"/>
      <c r="K24" s="1"/>
      <c r="L24" s="1"/>
    </row>
    <row r="25" spans="1:12" ht="15" x14ac:dyDescent="0.25">
      <c r="A25" s="1"/>
      <c r="B25" s="1"/>
      <c r="C25" s="1"/>
      <c r="D25" s="1"/>
      <c r="E25" s="5"/>
      <c r="F25" s="1"/>
      <c r="G25" s="1"/>
      <c r="H25" s="1"/>
      <c r="I25" s="1"/>
      <c r="J25" s="1"/>
      <c r="K25" s="1"/>
      <c r="L25" s="1"/>
    </row>
    <row r="26" spans="1:12" ht="15" x14ac:dyDescent="0.25">
      <c r="A26" s="51" t="s">
        <v>25</v>
      </c>
      <c r="B26" s="51"/>
      <c r="C26" s="1"/>
      <c r="D26" s="1"/>
      <c r="E26" s="1"/>
      <c r="F26" s="1"/>
      <c r="G26" s="1"/>
      <c r="H26" s="1"/>
      <c r="I26" s="1"/>
      <c r="J26" s="1"/>
      <c r="K26" s="1"/>
      <c r="L26" s="1"/>
    </row>
    <row r="27" spans="1:12" ht="15" x14ac:dyDescent="0.25">
      <c r="A27" s="17" t="s">
        <v>19</v>
      </c>
      <c r="B27" s="45">
        <v>498</v>
      </c>
      <c r="C27" s="1">
        <v>235</v>
      </c>
      <c r="D27" s="12" t="s">
        <v>26</v>
      </c>
      <c r="E27" s="4"/>
      <c r="F27" s="3"/>
      <c r="G27" s="13"/>
      <c r="H27" s="14"/>
      <c r="I27" s="14"/>
      <c r="J27" s="3"/>
      <c r="K27" s="1"/>
      <c r="L27" s="1"/>
    </row>
    <row r="28" spans="1:12" ht="15" x14ac:dyDescent="0.25">
      <c r="A28" s="17" t="s">
        <v>20</v>
      </c>
      <c r="B28" s="43">
        <v>10</v>
      </c>
      <c r="C28" s="1">
        <f>B28*10</f>
        <v>100</v>
      </c>
      <c r="D28" s="12" t="s">
        <v>49</v>
      </c>
      <c r="E28" s="4"/>
      <c r="F28" s="4"/>
      <c r="G28" s="15"/>
      <c r="H28" s="14"/>
      <c r="I28" s="14"/>
      <c r="J28" s="3"/>
      <c r="K28" s="1"/>
      <c r="L28" s="1"/>
    </row>
    <row r="29" spans="1:12" ht="15" x14ac:dyDescent="0.25">
      <c r="A29" s="16" t="s">
        <v>21</v>
      </c>
      <c r="B29" s="45">
        <v>726.04561962792422</v>
      </c>
      <c r="C29" s="33">
        <v>550</v>
      </c>
      <c r="D29" s="12" t="s">
        <v>26</v>
      </c>
      <c r="E29" s="28" t="s">
        <v>48</v>
      </c>
      <c r="F29" s="3"/>
      <c r="G29" s="12"/>
      <c r="H29" s="4"/>
      <c r="I29" s="4"/>
      <c r="J29" s="3"/>
      <c r="K29" s="1"/>
      <c r="L29" s="1"/>
    </row>
    <row r="30" spans="1:12" ht="15" x14ac:dyDescent="0.25">
      <c r="A30" s="16" t="s">
        <v>22</v>
      </c>
      <c r="B30" s="43">
        <v>9.9018736931956877</v>
      </c>
      <c r="C30" s="32">
        <f>B30*10</f>
        <v>99.01873693195688</v>
      </c>
      <c r="D30" s="12" t="s">
        <v>49</v>
      </c>
      <c r="E30" s="28" t="s">
        <v>48</v>
      </c>
      <c r="F30" s="3"/>
      <c r="G30" s="12"/>
      <c r="H30" s="4"/>
      <c r="I30" s="3"/>
      <c r="J30" s="3"/>
      <c r="K30" s="1"/>
      <c r="L30" s="1"/>
    </row>
    <row r="31" spans="1:12" ht="15" x14ac:dyDescent="0.25">
      <c r="A31" s="28"/>
      <c r="B31" s="5"/>
      <c r="C31" s="1"/>
      <c r="D31" s="12"/>
      <c r="E31" s="4"/>
      <c r="F31" s="3"/>
      <c r="G31" s="3"/>
      <c r="H31" s="4"/>
      <c r="I31" s="3"/>
      <c r="J31" s="3"/>
      <c r="K31" s="1"/>
      <c r="L31" s="1"/>
    </row>
    <row r="32" spans="1:12" ht="15" x14ac:dyDescent="0.25">
      <c r="A32" s="28"/>
      <c r="B32" s="5"/>
      <c r="C32" s="1"/>
      <c r="D32" s="12"/>
      <c r="E32" s="4"/>
      <c r="F32" s="3"/>
      <c r="G32" s="3"/>
      <c r="H32" s="4"/>
      <c r="I32" s="3"/>
      <c r="J32" s="3"/>
      <c r="K32" s="1"/>
      <c r="L32" s="1"/>
    </row>
    <row r="33" spans="1:6" ht="15" x14ac:dyDescent="0.25">
      <c r="A33" s="1"/>
      <c r="B33" s="1"/>
      <c r="C33" s="1"/>
      <c r="D33" s="1"/>
      <c r="E33" s="5"/>
      <c r="F33" s="5"/>
    </row>
  </sheetData>
  <mergeCells count="3">
    <mergeCell ref="D1:E2"/>
    <mergeCell ref="D7:E8"/>
    <mergeCell ref="A26:B2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ngitudinale_vba">
                <anchor moveWithCells="1" sizeWithCells="1">
                  <from>
                    <xdr:col>3</xdr:col>
                    <xdr:colOff>9525</xdr:colOff>
                    <xdr:row>6</xdr:row>
                    <xdr:rowOff>0</xdr:rowOff>
                  </from>
                  <to>
                    <xdr:col>4</xdr:col>
                    <xdr:colOff>9525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W51"/>
  <sheetViews>
    <sheetView zoomScale="75" zoomScaleNormal="75" workbookViewId="0"/>
  </sheetViews>
  <sheetFormatPr baseColWidth="10" defaultRowHeight="12.75" x14ac:dyDescent="0.2"/>
  <cols>
    <col min="1" max="1" width="10.5703125" customWidth="1"/>
    <col min="6" max="6" width="16.28515625" customWidth="1"/>
    <col min="7" max="7" width="15.140625" customWidth="1"/>
    <col min="8" max="8" width="14.28515625" customWidth="1"/>
    <col min="10" max="10" width="15.42578125" customWidth="1"/>
    <col min="11" max="11" width="12.85546875" customWidth="1"/>
    <col min="22" max="22" width="15.7109375" customWidth="1"/>
    <col min="23" max="23" width="34.140625" customWidth="1"/>
  </cols>
  <sheetData>
    <row r="2" spans="1:23" ht="18" x14ac:dyDescent="0.25">
      <c r="D2" s="27" t="s">
        <v>47</v>
      </c>
    </row>
    <row r="3" spans="1:23" ht="15.75" x14ac:dyDescent="0.25">
      <c r="D3" s="18"/>
    </row>
    <row r="4" spans="1:23" ht="16.5" thickBot="1" x14ac:dyDescent="0.3">
      <c r="D4" s="18"/>
    </row>
    <row r="5" spans="1:23" x14ac:dyDescent="0.2">
      <c r="A5" s="25" t="s">
        <v>27</v>
      </c>
      <c r="B5" s="25" t="s">
        <v>28</v>
      </c>
      <c r="C5" s="25" t="s">
        <v>29</v>
      </c>
      <c r="D5" s="25" t="s">
        <v>30</v>
      </c>
      <c r="E5" s="25" t="s">
        <v>31</v>
      </c>
      <c r="F5" s="25" t="s">
        <v>32</v>
      </c>
      <c r="G5" s="25" t="s">
        <v>33</v>
      </c>
      <c r="H5" s="25" t="s">
        <v>34</v>
      </c>
      <c r="I5" s="25" t="s">
        <v>35</v>
      </c>
      <c r="J5" s="25" t="s">
        <v>36</v>
      </c>
      <c r="K5" s="25" t="s">
        <v>37</v>
      </c>
      <c r="L5" s="25" t="s">
        <v>38</v>
      </c>
      <c r="M5" s="25" t="s">
        <v>39</v>
      </c>
      <c r="N5" s="25" t="s">
        <v>40</v>
      </c>
      <c r="O5" s="25" t="s">
        <v>52</v>
      </c>
      <c r="P5" s="25" t="s">
        <v>53</v>
      </c>
      <c r="Q5" s="25" t="s">
        <v>54</v>
      </c>
      <c r="R5" s="25" t="s">
        <v>55</v>
      </c>
      <c r="S5" s="25" t="s">
        <v>56</v>
      </c>
      <c r="T5" s="25" t="s">
        <v>57</v>
      </c>
      <c r="U5" s="25" t="s">
        <v>58</v>
      </c>
      <c r="V5" s="25" t="s">
        <v>60</v>
      </c>
      <c r="W5" s="25" t="s">
        <v>59</v>
      </c>
    </row>
    <row r="6" spans="1:23" ht="13.5" thickBot="1" x14ac:dyDescent="0.25">
      <c r="A6" s="24"/>
      <c r="B6" s="26" t="s">
        <v>41</v>
      </c>
      <c r="C6" s="26" t="s">
        <v>42</v>
      </c>
      <c r="D6" s="26" t="s">
        <v>41</v>
      </c>
      <c r="E6" s="26" t="s">
        <v>41</v>
      </c>
      <c r="F6" s="26" t="s">
        <v>41</v>
      </c>
      <c r="G6" s="26" t="s">
        <v>41</v>
      </c>
      <c r="H6" s="26" t="s">
        <v>41</v>
      </c>
      <c r="I6" s="26" t="s">
        <v>43</v>
      </c>
      <c r="J6" s="26" t="s">
        <v>44</v>
      </c>
      <c r="K6" s="26" t="s">
        <v>45</v>
      </c>
      <c r="L6" s="26" t="s">
        <v>46</v>
      </c>
      <c r="M6" s="26" t="s">
        <v>46</v>
      </c>
      <c r="N6" s="26" t="s">
        <v>46</v>
      </c>
      <c r="O6" s="26" t="s">
        <v>43</v>
      </c>
      <c r="P6" s="26" t="s">
        <v>43</v>
      </c>
      <c r="Q6" s="26" t="s">
        <v>43</v>
      </c>
      <c r="R6" s="26" t="s">
        <v>43</v>
      </c>
      <c r="S6" s="26" t="s">
        <v>43</v>
      </c>
      <c r="T6" s="26" t="s">
        <v>43</v>
      </c>
      <c r="U6" s="26" t="s">
        <v>43</v>
      </c>
      <c r="V6" s="26" t="s">
        <v>43</v>
      </c>
      <c r="W6" s="26" t="s">
        <v>43</v>
      </c>
    </row>
    <row r="7" spans="1:23" x14ac:dyDescent="0.2">
      <c r="A7" s="22">
        <v>1</v>
      </c>
      <c r="B7" s="22">
        <v>529.46242989664745</v>
      </c>
      <c r="C7" s="22">
        <v>535.86501451857077</v>
      </c>
      <c r="D7" s="22">
        <v>335.12945816950889</v>
      </c>
      <c r="E7" s="22">
        <v>334.64109069118092</v>
      </c>
      <c r="F7" s="22">
        <v>498</v>
      </c>
      <c r="G7" s="22">
        <v>504.54573250094711</v>
      </c>
      <c r="H7" s="22">
        <v>511.09146500189422</v>
      </c>
      <c r="I7" s="30">
        <v>70.190099067213069</v>
      </c>
      <c r="J7" s="22">
        <v>0.98264133748139915</v>
      </c>
      <c r="K7" s="22">
        <v>4.4117923517233697</v>
      </c>
      <c r="L7" s="22">
        <v>10</v>
      </c>
      <c r="M7" s="22">
        <v>9.9855570418416768</v>
      </c>
      <c r="N7" s="22">
        <v>9.9711140836833554</v>
      </c>
      <c r="O7" s="22">
        <v>3973.3299009327829</v>
      </c>
      <c r="P7" s="22">
        <v>3973.329900932807</v>
      </c>
      <c r="Q7" s="22">
        <v>6.6473265787765703E-3</v>
      </c>
      <c r="R7" s="22">
        <v>64.868889508153885</v>
      </c>
      <c r="S7" s="22">
        <v>64.875536834735499</v>
      </c>
      <c r="T7" s="22">
        <v>57.968822455859765</v>
      </c>
      <c r="U7" s="22">
        <v>95.116138462642581</v>
      </c>
      <c r="V7" s="22">
        <v>5.3145622324804025</v>
      </c>
      <c r="W7" s="30">
        <v>70.190099067213069</v>
      </c>
    </row>
    <row r="8" spans="1:23" x14ac:dyDescent="0.2">
      <c r="A8" s="23">
        <v>2</v>
      </c>
      <c r="B8" s="23">
        <v>542.48623266154084</v>
      </c>
      <c r="C8" s="23">
        <v>548.81603345984786</v>
      </c>
      <c r="D8" s="23">
        <v>337.00843960269134</v>
      </c>
      <c r="E8" s="23">
        <v>336.44997687308421</v>
      </c>
      <c r="F8" s="23">
        <v>511.09146500189422</v>
      </c>
      <c r="G8" s="23">
        <v>517.68151919114155</v>
      </c>
      <c r="H8" s="23">
        <v>524.27157338038887</v>
      </c>
      <c r="I8" s="31">
        <v>79.651114852626762</v>
      </c>
      <c r="J8" s="23">
        <v>0.98030154052592122</v>
      </c>
      <c r="K8" s="23">
        <v>4.5717859565439465</v>
      </c>
      <c r="L8" s="23">
        <v>9.9711140836833554</v>
      </c>
      <c r="M8" s="23">
        <v>9.9705285242496657</v>
      </c>
      <c r="N8" s="23">
        <v>9.9699429648159761</v>
      </c>
      <c r="O8" s="23">
        <v>3963.8688851473776</v>
      </c>
      <c r="P8" s="23">
        <v>3963.8688851473603</v>
      </c>
      <c r="Q8" s="23">
        <v>6.8965637973189171E-3</v>
      </c>
      <c r="R8" s="23">
        <v>74.180208420130356</v>
      </c>
      <c r="S8" s="23">
        <v>74.187104983929459</v>
      </c>
      <c r="T8" s="23">
        <v>62.045951263089812</v>
      </c>
      <c r="U8" s="23">
        <v>100.35057780460751</v>
      </c>
      <c r="V8" s="23">
        <v>5.4640098686990939</v>
      </c>
      <c r="W8" s="31">
        <v>79.651114852626762</v>
      </c>
    </row>
    <row r="9" spans="1:23" x14ac:dyDescent="0.2">
      <c r="A9" s="23">
        <v>3</v>
      </c>
      <c r="B9" s="23">
        <v>555.5196070994715</v>
      </c>
      <c r="C9" s="23">
        <v>561.77628287407515</v>
      </c>
      <c r="D9" s="23">
        <v>339.07211699642841</v>
      </c>
      <c r="E9" s="23">
        <v>338.43564584963536</v>
      </c>
      <c r="F9" s="23">
        <v>524.27157338038887</v>
      </c>
      <c r="G9" s="23">
        <v>530.85822326086964</v>
      </c>
      <c r="H9" s="23">
        <v>537.44487314135051</v>
      </c>
      <c r="I9" s="31">
        <v>90.123342618334419</v>
      </c>
      <c r="J9" s="23">
        <v>0.97771166146863764</v>
      </c>
      <c r="K9" s="23">
        <v>4.7235193902988728</v>
      </c>
      <c r="L9" s="23">
        <v>9.9699429648159761</v>
      </c>
      <c r="M9" s="23">
        <v>9.9693365676043477</v>
      </c>
      <c r="N9" s="23">
        <v>9.9687301703927194</v>
      </c>
      <c r="O9" s="23">
        <v>3953.3966573816715</v>
      </c>
      <c r="P9" s="23">
        <v>3953.3966573816588</v>
      </c>
      <c r="Q9" s="23">
        <v>7.1304397766676717E-3</v>
      </c>
      <c r="R9" s="23">
        <v>84.542740631469613</v>
      </c>
      <c r="S9" s="23">
        <v>84.549871071243331</v>
      </c>
      <c r="T9" s="23">
        <v>66.56468596920061</v>
      </c>
      <c r="U9" s="23">
        <v>106.1946091858153</v>
      </c>
      <c r="V9" s="23">
        <v>5.5734715470881433</v>
      </c>
      <c r="W9" s="31">
        <v>90.123342618334419</v>
      </c>
    </row>
    <row r="10" spans="1:23" x14ac:dyDescent="0.2">
      <c r="A10" s="23">
        <v>4</v>
      </c>
      <c r="B10" s="23">
        <v>568.51564837233138</v>
      </c>
      <c r="C10" s="23">
        <v>574.69900305278054</v>
      </c>
      <c r="D10" s="23">
        <v>341.3245652461224</v>
      </c>
      <c r="E10" s="23">
        <v>340.60175141313294</v>
      </c>
      <c r="F10" s="23">
        <v>537.44487314135051</v>
      </c>
      <c r="G10" s="23">
        <v>544.01969256487928</v>
      </c>
      <c r="H10" s="23">
        <v>550.59451198840816</v>
      </c>
      <c r="I10" s="31">
        <v>101.6467146181141</v>
      </c>
      <c r="J10" s="23">
        <v>0.97486182469281368</v>
      </c>
      <c r="K10" s="23">
        <v>4.8730805821825616</v>
      </c>
      <c r="L10" s="23">
        <v>9.9687301703927194</v>
      </c>
      <c r="M10" s="23">
        <v>9.9681031390600268</v>
      </c>
      <c r="N10" s="23">
        <v>9.9674761077273342</v>
      </c>
      <c r="O10" s="23">
        <v>3941.8732853818788</v>
      </c>
      <c r="P10" s="23">
        <v>3941.8732853818833</v>
      </c>
      <c r="Q10" s="23">
        <v>7.3483035179770654E-3</v>
      </c>
      <c r="R10" s="23">
        <v>96.012426820155497</v>
      </c>
      <c r="S10" s="23">
        <v>96.019775123666435</v>
      </c>
      <c r="T10" s="23">
        <v>71.541124826970261</v>
      </c>
      <c r="U10" s="23">
        <v>112.68807438047305</v>
      </c>
      <c r="V10" s="23">
        <v>5.6269394944406335</v>
      </c>
      <c r="W10" s="31">
        <v>101.6467146181141</v>
      </c>
    </row>
    <row r="11" spans="1:23" x14ac:dyDescent="0.2">
      <c r="A11" s="23">
        <v>5</v>
      </c>
      <c r="B11" s="23">
        <v>581.46247998594856</v>
      </c>
      <c r="C11" s="23">
        <v>587.57228907957267</v>
      </c>
      <c r="D11" s="23">
        <v>343.77390476321057</v>
      </c>
      <c r="E11" s="23">
        <v>342.95580769810078</v>
      </c>
      <c r="F11" s="23">
        <v>550.59451198840816</v>
      </c>
      <c r="G11" s="23">
        <v>557.15028096842479</v>
      </c>
      <c r="H11" s="23">
        <v>563.70604994844155</v>
      </c>
      <c r="I11" s="31">
        <v>114.27080009733646</v>
      </c>
      <c r="J11" s="23">
        <v>0.9717397712643101</v>
      </c>
      <c r="K11" s="23">
        <v>5.0205334428880377</v>
      </c>
      <c r="L11" s="23">
        <v>9.9674761077273342</v>
      </c>
      <c r="M11" s="23">
        <v>9.9668286448956813</v>
      </c>
      <c r="N11" s="23">
        <v>9.9661811820640285</v>
      </c>
      <c r="O11" s="23">
        <v>3929.2491999026697</v>
      </c>
      <c r="P11" s="23">
        <v>3929.2491999026684</v>
      </c>
      <c r="Q11" s="23">
        <v>7.5502420238594079E-3</v>
      </c>
      <c r="R11" s="23">
        <v>108.66980571876041</v>
      </c>
      <c r="S11" s="23">
        <v>108.67735596078217</v>
      </c>
      <c r="T11" s="23">
        <v>76.999929594493295</v>
      </c>
      <c r="U11" s="23">
        <v>119.88685045006069</v>
      </c>
      <c r="V11" s="23">
        <v>5.5934441365521907</v>
      </c>
      <c r="W11" s="31">
        <v>114.27080009733646</v>
      </c>
    </row>
    <row r="12" spans="1:23" x14ac:dyDescent="0.2">
      <c r="A12" s="23">
        <v>6</v>
      </c>
      <c r="B12" s="23">
        <v>594.34997469284929</v>
      </c>
      <c r="C12" s="23">
        <v>600.38605103016835</v>
      </c>
      <c r="D12" s="23">
        <v>346.42768839948712</v>
      </c>
      <c r="E12" s="23">
        <v>345.50474574525987</v>
      </c>
      <c r="F12" s="23">
        <v>563.70604994844155</v>
      </c>
      <c r="G12" s="23">
        <v>570.23660959772246</v>
      </c>
      <c r="H12" s="23">
        <v>576.76716924700349</v>
      </c>
      <c r="I12" s="31">
        <v>127.99694032681943</v>
      </c>
      <c r="J12" s="23">
        <v>0.96834516947441351</v>
      </c>
      <c r="K12" s="23">
        <v>5.1659370688625454</v>
      </c>
      <c r="L12" s="23">
        <v>9.9661811820640285</v>
      </c>
      <c r="M12" s="23">
        <v>9.9655134892994397</v>
      </c>
      <c r="N12" s="23">
        <v>9.9648457965348527</v>
      </c>
      <c r="O12" s="23">
        <v>3915.5230596731708</v>
      </c>
      <c r="P12" s="23">
        <v>3915.5230596732072</v>
      </c>
      <c r="Q12" s="23">
        <v>7.7364173174740477E-3</v>
      </c>
      <c r="R12" s="23">
        <v>122.59747956812372</v>
      </c>
      <c r="S12" s="23">
        <v>122.60521598544635</v>
      </c>
      <c r="T12" s="23">
        <v>82.964109300181775</v>
      </c>
      <c r="U12" s="23">
        <v>127.85053076902899</v>
      </c>
      <c r="V12" s="23">
        <v>5.3917243413782323</v>
      </c>
      <c r="W12" s="31">
        <v>127.99694032681943</v>
      </c>
    </row>
    <row r="13" spans="1:23" x14ac:dyDescent="0.2">
      <c r="A13" s="23">
        <v>7</v>
      </c>
      <c r="B13" s="23">
        <v>607.17189530107282</v>
      </c>
      <c r="C13" s="23">
        <v>613.13466901149354</v>
      </c>
      <c r="D13" s="23">
        <v>349.29348737545081</v>
      </c>
      <c r="E13" s="23">
        <v>348.25547430142558</v>
      </c>
      <c r="F13" s="23">
        <v>576.76716924700349</v>
      </c>
      <c r="G13" s="23">
        <v>583.26789000071039</v>
      </c>
      <c r="H13" s="23">
        <v>589.76861075441741</v>
      </c>
      <c r="I13" s="31">
        <v>142.43405088531779</v>
      </c>
      <c r="J13" s="23">
        <v>0.96477473812783965</v>
      </c>
      <c r="K13" s="23">
        <v>5.3093486433756985</v>
      </c>
      <c r="L13" s="23">
        <v>9.9648457965348527</v>
      </c>
      <c r="M13" s="23">
        <v>9.9641580739874911</v>
      </c>
      <c r="N13" s="23">
        <v>9.9634703514401295</v>
      </c>
      <c r="O13" s="23">
        <v>3901.0859491146816</v>
      </c>
      <c r="P13" s="23">
        <v>3901.0859491146971</v>
      </c>
      <c r="Q13" s="23">
        <v>7.9070938839944423E-3</v>
      </c>
      <c r="R13" s="23">
        <v>137.88345219444744</v>
      </c>
      <c r="S13" s="23">
        <v>137.89135928833528</v>
      </c>
      <c r="T13" s="23">
        <v>89.456097005825242</v>
      </c>
      <c r="U13" s="23">
        <v>136.64468636627572</v>
      </c>
      <c r="V13" s="23">
        <v>4.5426915969863435</v>
      </c>
      <c r="W13" s="31">
        <v>142.43405088531779</v>
      </c>
    </row>
    <row r="14" spans="1:23" x14ac:dyDescent="0.2">
      <c r="A14" s="23">
        <v>8</v>
      </c>
      <c r="B14" s="23">
        <v>619.90605511965418</v>
      </c>
      <c r="C14" s="23">
        <v>625.79224048978892</v>
      </c>
      <c r="D14" s="23">
        <v>352.37302761115757</v>
      </c>
      <c r="E14" s="23">
        <v>351.20925408672537</v>
      </c>
      <c r="F14" s="23">
        <v>589.76861075441741</v>
      </c>
      <c r="G14" s="23">
        <v>596.23142912609433</v>
      </c>
      <c r="H14" s="23">
        <v>602.69424749777124</v>
      </c>
      <c r="I14" s="31">
        <v>160.08178093969693</v>
      </c>
      <c r="J14" s="23">
        <v>0.96041029080115925</v>
      </c>
      <c r="K14" s="23">
        <v>5.4508277934178535</v>
      </c>
      <c r="L14" s="23">
        <v>9.9634703514401295</v>
      </c>
      <c r="M14" s="23">
        <v>9.9627627969283061</v>
      </c>
      <c r="N14" s="23">
        <v>9.9620552424164845</v>
      </c>
      <c r="O14" s="23">
        <v>3883.4382190602964</v>
      </c>
      <c r="P14" s="23">
        <v>3883.4382190602955</v>
      </c>
      <c r="Q14" s="23">
        <v>8.0623215629762723E-3</v>
      </c>
      <c r="R14" s="23">
        <v>154.58952146940294</v>
      </c>
      <c r="S14" s="23">
        <v>154.59758379096533</v>
      </c>
      <c r="T14" s="23">
        <v>96.484118733834634</v>
      </c>
      <c r="U14" s="23">
        <v>146.32288914090094</v>
      </c>
      <c r="V14" s="23">
        <v>5.4841971487310106</v>
      </c>
      <c r="W14" s="31">
        <v>160.08178093969693</v>
      </c>
    </row>
    <row r="15" spans="1:23" x14ac:dyDescent="0.2">
      <c r="A15" s="23">
        <v>9</v>
      </c>
      <c r="B15" s="23">
        <v>632.54715169831979</v>
      </c>
      <c r="C15" s="23">
        <v>638.35627517918761</v>
      </c>
      <c r="D15" s="23">
        <v>355.67167851834859</v>
      </c>
      <c r="E15" s="23">
        <v>354.37080644735903</v>
      </c>
      <c r="F15" s="23">
        <v>602.69424749777124</v>
      </c>
      <c r="G15" s="23">
        <v>609.11473129476769</v>
      </c>
      <c r="H15" s="23">
        <v>615.53521509176414</v>
      </c>
      <c r="I15" s="31">
        <v>179.1246596803889</v>
      </c>
      <c r="J15" s="23">
        <v>0.95570081026422793</v>
      </c>
      <c r="K15" s="23">
        <v>5.5903161557329506</v>
      </c>
      <c r="L15" s="23">
        <v>9.9620552424164845</v>
      </c>
      <c r="M15" s="23">
        <v>9.9613280675291982</v>
      </c>
      <c r="N15" s="23">
        <v>9.9606008926419136</v>
      </c>
      <c r="O15" s="23">
        <v>3864.395340319606</v>
      </c>
      <c r="P15" s="23">
        <v>3864.3953403196192</v>
      </c>
      <c r="Q15" s="23">
        <v>8.2025247382919737E-3</v>
      </c>
      <c r="R15" s="23">
        <v>172.80177705806139</v>
      </c>
      <c r="S15" s="23">
        <v>172.80997958280213</v>
      </c>
      <c r="T15" s="23">
        <v>104.06342681580357</v>
      </c>
      <c r="U15" s="23">
        <v>156.95597685076555</v>
      </c>
      <c r="V15" s="23">
        <v>6.3146800975892079</v>
      </c>
      <c r="W15" s="31">
        <v>179.1246596803889</v>
      </c>
    </row>
    <row r="16" spans="1:23" x14ac:dyDescent="0.2">
      <c r="A16" s="23">
        <v>10</v>
      </c>
      <c r="B16" s="23">
        <v>645.09182039483994</v>
      </c>
      <c r="C16" s="23">
        <v>650.82346099198071</v>
      </c>
      <c r="D16" s="23">
        <v>359.19370525673509</v>
      </c>
      <c r="E16" s="23">
        <v>357.74375199710806</v>
      </c>
      <c r="F16" s="23">
        <v>615.53521509176414</v>
      </c>
      <c r="G16" s="23">
        <v>621.90949107889878</v>
      </c>
      <c r="H16" s="23">
        <v>628.28376706603353</v>
      </c>
      <c r="I16" s="31">
        <v>199.53415959115745</v>
      </c>
      <c r="J16" s="23">
        <v>0.95065335163640663</v>
      </c>
      <c r="K16" s="23">
        <v>5.7278850648656192</v>
      </c>
      <c r="L16" s="23">
        <v>9.9606008926419136</v>
      </c>
      <c r="M16" s="23">
        <v>9.9598543041264449</v>
      </c>
      <c r="N16" s="23">
        <v>9.9591077156109744</v>
      </c>
      <c r="O16" s="23">
        <v>3843.9858404088441</v>
      </c>
      <c r="P16" s="23">
        <v>3843.9858404088209</v>
      </c>
      <c r="Q16" s="23">
        <v>8.3281347074953826E-3</v>
      </c>
      <c r="R16" s="23">
        <v>192.60584106761607</v>
      </c>
      <c r="S16" s="23">
        <v>192.61416920232651</v>
      </c>
      <c r="T16" s="23">
        <v>112.20542765283589</v>
      </c>
      <c r="U16" s="23">
        <v>168.61816563325726</v>
      </c>
      <c r="V16" s="23">
        <v>6.9199903888338747</v>
      </c>
      <c r="W16" s="31">
        <v>199.53415959115745</v>
      </c>
    </row>
    <row r="17" spans="1:23" x14ac:dyDescent="0.2">
      <c r="A17" s="23">
        <v>11</v>
      </c>
      <c r="B17" s="23">
        <v>657.53185804582097</v>
      </c>
      <c r="C17" s="23">
        <v>663.18530541836594</v>
      </c>
      <c r="D17" s="23">
        <v>362.94067476135439</v>
      </c>
      <c r="E17" s="23">
        <v>361.32908653578937</v>
      </c>
      <c r="F17" s="23">
        <v>628.28376706603353</v>
      </c>
      <c r="G17" s="23">
        <v>634.60802584998873</v>
      </c>
      <c r="H17" s="23">
        <v>640.93228463394382</v>
      </c>
      <c r="I17" s="23">
        <v>221.52349590577236</v>
      </c>
      <c r="J17" s="23">
        <v>0.94521518481279365</v>
      </c>
      <c r="K17" s="23">
        <v>5.8635578187879327</v>
      </c>
      <c r="L17" s="23">
        <v>9.9591077156109744</v>
      </c>
      <c r="M17" s="23">
        <v>9.9583419217081293</v>
      </c>
      <c r="N17" s="23">
        <v>9.9575761278052841</v>
      </c>
      <c r="O17" s="23">
        <v>3821.996504094227</v>
      </c>
      <c r="P17" s="23">
        <v>3821.9965040942202</v>
      </c>
      <c r="Q17" s="23">
        <v>8.4395613174259414E-3</v>
      </c>
      <c r="R17" s="23">
        <v>214.07758362767512</v>
      </c>
      <c r="S17" s="23">
        <v>214.08602318898622</v>
      </c>
      <c r="T17" s="23">
        <v>120.91375952312875</v>
      </c>
      <c r="U17" s="23">
        <v>181.38168774963364</v>
      </c>
      <c r="V17" s="23">
        <v>7.4374727167798147</v>
      </c>
      <c r="W17" s="23">
        <v>221.52349590577236</v>
      </c>
    </row>
    <row r="18" spans="1:23" x14ac:dyDescent="0.2">
      <c r="A18" s="23">
        <v>12</v>
      </c>
      <c r="B18" s="23">
        <v>669.86006207210369</v>
      </c>
      <c r="C18" s="23">
        <v>675.43446675609471</v>
      </c>
      <c r="D18" s="23">
        <v>366.91291833562434</v>
      </c>
      <c r="E18" s="23">
        <v>365.12658631429849</v>
      </c>
      <c r="F18" s="23">
        <v>640.93228463394382</v>
      </c>
      <c r="G18" s="23">
        <v>647.20288121419389</v>
      </c>
      <c r="H18" s="23">
        <v>653.47347779444397</v>
      </c>
      <c r="I18" s="23">
        <v>245.20585465413433</v>
      </c>
      <c r="J18" s="23">
        <v>0.93935831783838475</v>
      </c>
      <c r="K18" s="23">
        <v>5.9973523912789748</v>
      </c>
      <c r="L18" s="23">
        <v>9.9575761278052841</v>
      </c>
      <c r="M18" s="23">
        <v>9.9567913386493139</v>
      </c>
      <c r="N18" s="23">
        <v>9.9560065494933419</v>
      </c>
      <c r="O18" s="23">
        <v>3798.3141453458652</v>
      </c>
      <c r="P18" s="23">
        <v>3798.3141453459034</v>
      </c>
      <c r="Q18" s="23">
        <v>8.537268825441667E-3</v>
      </c>
      <c r="R18" s="23">
        <v>237.2907383614133</v>
      </c>
      <c r="S18" s="23">
        <v>237.29927563023512</v>
      </c>
      <c r="T18" s="23">
        <v>130.18747386330381</v>
      </c>
      <c r="U18" s="23">
        <v>195.32122585070459</v>
      </c>
      <c r="V18" s="23">
        <v>7.9065790238955769</v>
      </c>
      <c r="W18" s="23">
        <v>245.20585465413433</v>
      </c>
    </row>
    <row r="19" spans="1:23" x14ac:dyDescent="0.2">
      <c r="A19" s="23">
        <v>13</v>
      </c>
      <c r="B19" s="23">
        <v>682.06956892946005</v>
      </c>
      <c r="C19" s="23">
        <v>687.56398220947938</v>
      </c>
      <c r="D19" s="23">
        <v>371.10928463653863</v>
      </c>
      <c r="E19" s="23">
        <v>369.1345744961377</v>
      </c>
      <c r="F19" s="23">
        <v>653.47347779444397</v>
      </c>
      <c r="G19" s="23">
        <v>659.68691907707353</v>
      </c>
      <c r="H19" s="23">
        <v>665.90036035970297</v>
      </c>
      <c r="I19" s="23">
        <v>270.6679277149774</v>
      </c>
      <c r="J19" s="23">
        <v>0.93306131100749412</v>
      </c>
      <c r="K19" s="23">
        <v>6.129280331062902</v>
      </c>
      <c r="L19" s="23">
        <v>9.9560065494933419</v>
      </c>
      <c r="M19" s="23">
        <v>9.9552029777086872</v>
      </c>
      <c r="N19" s="23">
        <v>9.9543994059240326</v>
      </c>
      <c r="O19" s="23">
        <v>3772.8520722850185</v>
      </c>
      <c r="P19" s="23">
        <v>3772.8520722850039</v>
      </c>
      <c r="Q19" s="23">
        <v>8.6217643708283616E-3</v>
      </c>
      <c r="R19" s="23">
        <v>262.31511217900925</v>
      </c>
      <c r="S19" s="23">
        <v>262.3237339433793</v>
      </c>
      <c r="T19" s="23">
        <v>140.02036977316783</v>
      </c>
      <c r="U19" s="23">
        <v>210.51278825398194</v>
      </c>
      <c r="V19" s="23">
        <v>8.3441937715973413</v>
      </c>
      <c r="W19" s="23">
        <v>270.6679277149774</v>
      </c>
    </row>
    <row r="20" spans="1:23" x14ac:dyDescent="0.2">
      <c r="A20" s="23">
        <v>14</v>
      </c>
      <c r="B20" s="23">
        <v>694.1537395194764</v>
      </c>
      <c r="C20" s="23">
        <v>699.56713282585622</v>
      </c>
      <c r="D20" s="23">
        <v>375.52705731585115</v>
      </c>
      <c r="E20" s="23">
        <v>373.34984656402901</v>
      </c>
      <c r="F20" s="23">
        <v>665.90036035970297</v>
      </c>
      <c r="G20" s="23">
        <v>672.05328002650811</v>
      </c>
      <c r="H20" s="23">
        <v>678.20619969331324</v>
      </c>
      <c r="I20" s="23">
        <v>297.98329392587698</v>
      </c>
      <c r="J20" s="23">
        <v>0.92630596759113915</v>
      </c>
      <c r="K20" s="23">
        <v>6.259347435581577</v>
      </c>
      <c r="L20" s="23">
        <v>9.9543994059240326</v>
      </c>
      <c r="M20" s="23">
        <v>9.9535772671638032</v>
      </c>
      <c r="N20" s="23">
        <v>9.9527551284035738</v>
      </c>
      <c r="O20" s="23">
        <v>3745.5367060741264</v>
      </c>
      <c r="P20" s="23">
        <v>3745.5367060741146</v>
      </c>
      <c r="Q20" s="23">
        <v>8.6935940615951775E-3</v>
      </c>
      <c r="R20" s="23">
        <v>289.21555370923721</v>
      </c>
      <c r="S20" s="23">
        <v>289.22424730330215</v>
      </c>
      <c r="T20" s="23">
        <v>150.4007689245451</v>
      </c>
      <c r="U20" s="23">
        <v>227.03290246252334</v>
      </c>
      <c r="V20" s="23">
        <v>8.7590466225781807</v>
      </c>
      <c r="W20" s="23">
        <v>297.98329392587698</v>
      </c>
    </row>
    <row r="21" spans="1:23" x14ac:dyDescent="0.2">
      <c r="A21" s="23">
        <v>15</v>
      </c>
      <c r="B21" s="23">
        <v>706.10610869460083</v>
      </c>
      <c r="C21" s="23">
        <v>711.4373873520766</v>
      </c>
      <c r="D21" s="23">
        <v>380.16191105198169</v>
      </c>
      <c r="E21" s="23">
        <v>377.76763357426051</v>
      </c>
      <c r="F21" s="23">
        <v>678.20619969331324</v>
      </c>
      <c r="G21" s="23">
        <v>684.29533503435005</v>
      </c>
      <c r="H21" s="23">
        <v>690.38447037538697</v>
      </c>
      <c r="I21" s="23">
        <v>327.2159371896222</v>
      </c>
      <c r="J21" s="23">
        <v>0.91907646377670393</v>
      </c>
      <c r="K21" s="23">
        <v>6.3875543224130196</v>
      </c>
      <c r="L21" s="23">
        <v>9.9527551284035738</v>
      </c>
      <c r="M21" s="23">
        <v>9.9519146418392257</v>
      </c>
      <c r="N21" s="23">
        <v>9.9510741552748776</v>
      </c>
      <c r="O21" s="23">
        <v>3716.3040628103845</v>
      </c>
      <c r="P21" s="23">
        <v>3716.3040628103545</v>
      </c>
      <c r="Q21" s="23">
        <v>8.7533394406067149E-3</v>
      </c>
      <c r="R21" s="23">
        <v>318.05099386216318</v>
      </c>
      <c r="S21" s="23">
        <v>318.05974720159952</v>
      </c>
      <c r="T21" s="23">
        <v>161.3114487579229</v>
      </c>
      <c r="U21" s="23">
        <v>244.95772252745073</v>
      </c>
      <c r="V21" s="23">
        <v>9.1561899880184328</v>
      </c>
      <c r="W21" s="23">
        <v>327.2159371896222</v>
      </c>
    </row>
    <row r="22" spans="1:23" x14ac:dyDescent="0.2">
      <c r="A22" s="23">
        <v>16</v>
      </c>
      <c r="B22" s="23">
        <v>717.92035674508418</v>
      </c>
      <c r="C22" s="23">
        <v>723.16837205616207</v>
      </c>
      <c r="D22" s="23">
        <v>385.00789737308617</v>
      </c>
      <c r="E22" s="23">
        <v>382.38159501547807</v>
      </c>
      <c r="F22" s="23">
        <v>690.38447037538697</v>
      </c>
      <c r="G22" s="23">
        <v>696.40664406233486</v>
      </c>
      <c r="H22" s="23">
        <v>702.42881774928264</v>
      </c>
      <c r="I22" s="23">
        <v>358.42108810653377</v>
      </c>
      <c r="J22" s="23">
        <v>0.91135914052446043</v>
      </c>
      <c r="K22" s="23">
        <v>6.5138969411737726</v>
      </c>
      <c r="L22" s="23">
        <v>9.9510741552748776</v>
      </c>
      <c r="M22" s="23">
        <v>9.9502155440412494</v>
      </c>
      <c r="N22" s="23">
        <v>9.949356932807623</v>
      </c>
      <c r="O22" s="23">
        <v>3685.0989118934676</v>
      </c>
      <c r="P22" s="23">
        <v>3685.0989118934413</v>
      </c>
      <c r="Q22" s="23">
        <v>8.8016135797818629E-3</v>
      </c>
      <c r="R22" s="23">
        <v>348.87351119622684</v>
      </c>
      <c r="S22" s="23">
        <v>348.8823128098075</v>
      </c>
      <c r="T22" s="23">
        <v>172.72971623610232</v>
      </c>
      <c r="U22" s="23">
        <v>264.36202065747381</v>
      </c>
      <c r="V22" s="23">
        <v>9.5387752967271418</v>
      </c>
      <c r="W22" s="23">
        <v>358.42108810653377</v>
      </c>
    </row>
    <row r="23" spans="1:23" x14ac:dyDescent="0.2">
      <c r="A23" s="23">
        <v>17</v>
      </c>
      <c r="B23" s="23">
        <v>729.59029371239444</v>
      </c>
      <c r="C23" s="23">
        <v>734.75385471728043</v>
      </c>
      <c r="D23" s="23">
        <v>390.05746029395544</v>
      </c>
      <c r="E23" s="23">
        <v>387.18384126267262</v>
      </c>
      <c r="F23" s="23">
        <v>702.42881774928264</v>
      </c>
      <c r="G23" s="23">
        <v>708.38092489308292</v>
      </c>
      <c r="H23" s="23">
        <v>714.33303203688308</v>
      </c>
      <c r="I23" s="23">
        <v>391.64514016327297</v>
      </c>
      <c r="J23" s="23">
        <v>0.90314252429485375</v>
      </c>
      <c r="K23" s="23">
        <v>6.6383670598221851</v>
      </c>
      <c r="L23" s="23">
        <v>9.949356932807623</v>
      </c>
      <c r="M23" s="23">
        <v>9.9484804244032041</v>
      </c>
      <c r="N23" s="23">
        <v>9.9476039159987835</v>
      </c>
      <c r="O23" s="23">
        <v>3651.8748598367279</v>
      </c>
      <c r="P23" s="23">
        <v>3651.8748598367447</v>
      </c>
      <c r="Q23" s="23">
        <v>8.8390566380302672E-3</v>
      </c>
      <c r="R23" s="23">
        <v>381.72742632953896</v>
      </c>
      <c r="S23" s="23">
        <v>381.7362653861789</v>
      </c>
      <c r="T23" s="23">
        <v>184.62762012488793</v>
      </c>
      <c r="U23" s="23">
        <v>285.3180693450584</v>
      </c>
      <c r="V23" s="23">
        <v>9.9088747770959955</v>
      </c>
      <c r="W23" s="23">
        <v>391.64514016327297</v>
      </c>
    </row>
    <row r="24" spans="1:23" x14ac:dyDescent="0.2">
      <c r="A24" s="23">
        <v>18</v>
      </c>
      <c r="B24" s="23">
        <v>741.08993677944943</v>
      </c>
      <c r="C24" s="23">
        <v>746.16797238022434</v>
      </c>
      <c r="D24" s="23">
        <v>395.29219193209912</v>
      </c>
      <c r="E24" s="23">
        <v>392.15616688349695</v>
      </c>
      <c r="F24" s="23">
        <v>714.33303203688308</v>
      </c>
      <c r="G24" s="23">
        <v>720.18932583240371</v>
      </c>
      <c r="H24" s="23">
        <v>726.04561962792422</v>
      </c>
      <c r="I24" s="23">
        <v>426.86199992527258</v>
      </c>
      <c r="J24" s="23">
        <v>0.89443306823627111</v>
      </c>
      <c r="K24" s="23">
        <v>6.7752307547597672</v>
      </c>
      <c r="L24" s="23">
        <v>9.9476039159987835</v>
      </c>
      <c r="M24" s="23">
        <v>9.9247388045972365</v>
      </c>
      <c r="N24" s="23">
        <v>9.9018736931956877</v>
      </c>
      <c r="O24" s="23">
        <v>3616.6580000747272</v>
      </c>
      <c r="P24" s="23">
        <v>3616.6580000747099</v>
      </c>
      <c r="Q24" s="23">
        <v>8.8662918390983291E-3</v>
      </c>
      <c r="R24" s="23">
        <v>416.58584482979251</v>
      </c>
      <c r="S24" s="23">
        <v>416.5947111216343</v>
      </c>
      <c r="T24" s="23">
        <v>196.95044356932098</v>
      </c>
      <c r="U24" s="23">
        <v>307.85369163608027</v>
      </c>
      <c r="V24" s="23">
        <v>10.267288803640991</v>
      </c>
      <c r="W24" s="23">
        <v>426.86199992527258</v>
      </c>
    </row>
    <row r="25" spans="1:23" x14ac:dyDescent="0.2">
      <c r="A25" s="23">
        <v>0</v>
      </c>
      <c r="B25" s="23">
        <v>0</v>
      </c>
      <c r="C25" s="23">
        <v>0</v>
      </c>
      <c r="D25" s="23">
        <v>0</v>
      </c>
      <c r="E25" s="23">
        <v>0</v>
      </c>
      <c r="F25" s="23">
        <v>0</v>
      </c>
      <c r="G25" s="23">
        <v>0</v>
      </c>
      <c r="H25" s="23">
        <v>0</v>
      </c>
      <c r="I25" s="23">
        <v>0</v>
      </c>
      <c r="J25" s="23">
        <v>0</v>
      </c>
      <c r="K25" s="23">
        <v>0</v>
      </c>
      <c r="L25" s="23">
        <v>0</v>
      </c>
      <c r="M25" s="23">
        <v>0</v>
      </c>
      <c r="N25" s="23">
        <v>0</v>
      </c>
      <c r="O25" s="23">
        <v>0</v>
      </c>
      <c r="P25" s="23">
        <v>0</v>
      </c>
      <c r="Q25" s="23">
        <v>0</v>
      </c>
      <c r="R25" s="23">
        <v>0</v>
      </c>
      <c r="S25" s="23">
        <v>0</v>
      </c>
      <c r="T25" s="23">
        <v>0</v>
      </c>
      <c r="U25" s="23">
        <v>0</v>
      </c>
      <c r="V25" s="23">
        <v>0</v>
      </c>
      <c r="W25" s="23">
        <v>0</v>
      </c>
    </row>
    <row r="26" spans="1:23" x14ac:dyDescent="0.2">
      <c r="A26" s="23">
        <v>0</v>
      </c>
      <c r="B26" s="23">
        <v>0</v>
      </c>
      <c r="C26" s="23">
        <v>0</v>
      </c>
      <c r="D26" s="23">
        <v>0</v>
      </c>
      <c r="E26" s="23">
        <v>0</v>
      </c>
      <c r="F26" s="23">
        <v>0</v>
      </c>
      <c r="G26" s="23">
        <v>0</v>
      </c>
      <c r="H26" s="23">
        <v>0</v>
      </c>
      <c r="I26" s="23">
        <v>0</v>
      </c>
      <c r="J26" s="23">
        <v>0</v>
      </c>
      <c r="K26" s="23">
        <v>0</v>
      </c>
      <c r="L26" s="23">
        <v>0</v>
      </c>
      <c r="M26" s="23">
        <v>0</v>
      </c>
      <c r="N26" s="23">
        <v>0</v>
      </c>
      <c r="O26" s="23">
        <v>0</v>
      </c>
      <c r="P26" s="23">
        <v>0</v>
      </c>
      <c r="Q26" s="23">
        <v>0</v>
      </c>
      <c r="R26" s="23">
        <v>0</v>
      </c>
      <c r="S26" s="23">
        <v>0</v>
      </c>
      <c r="T26" s="23">
        <v>0</v>
      </c>
      <c r="U26" s="23">
        <v>0</v>
      </c>
      <c r="V26" s="23">
        <v>0</v>
      </c>
      <c r="W26" s="23">
        <v>0</v>
      </c>
    </row>
    <row r="27" spans="1:23" x14ac:dyDescent="0.2">
      <c r="A27" s="23">
        <v>0</v>
      </c>
      <c r="B27" s="23">
        <v>0</v>
      </c>
      <c r="C27" s="23">
        <v>0</v>
      </c>
      <c r="D27" s="23">
        <v>0</v>
      </c>
      <c r="E27" s="23">
        <v>0</v>
      </c>
      <c r="F27" s="23">
        <v>0</v>
      </c>
      <c r="G27" s="23">
        <v>0</v>
      </c>
      <c r="H27" s="23">
        <v>0</v>
      </c>
      <c r="I27" s="23">
        <v>0</v>
      </c>
      <c r="J27" s="23">
        <v>0</v>
      </c>
      <c r="K27" s="23">
        <v>0</v>
      </c>
      <c r="L27" s="23">
        <v>0</v>
      </c>
      <c r="M27" s="23">
        <v>0</v>
      </c>
      <c r="N27" s="23">
        <v>0</v>
      </c>
      <c r="O27" s="23">
        <v>0</v>
      </c>
      <c r="P27" s="23">
        <v>0</v>
      </c>
      <c r="Q27" s="23">
        <v>0</v>
      </c>
      <c r="R27" s="23">
        <v>0</v>
      </c>
      <c r="S27" s="23">
        <v>0</v>
      </c>
      <c r="T27" s="23">
        <v>0</v>
      </c>
      <c r="U27" s="23">
        <v>0</v>
      </c>
      <c r="V27" s="23">
        <v>0</v>
      </c>
      <c r="W27" s="23">
        <v>0</v>
      </c>
    </row>
    <row r="28" spans="1:23" x14ac:dyDescent="0.2">
      <c r="A28" s="23">
        <v>0</v>
      </c>
      <c r="B28" s="23">
        <v>0</v>
      </c>
      <c r="C28" s="23">
        <v>0</v>
      </c>
      <c r="D28" s="23">
        <v>0</v>
      </c>
      <c r="E28" s="23">
        <v>0</v>
      </c>
      <c r="F28" s="23">
        <v>0</v>
      </c>
      <c r="G28" s="23">
        <v>0</v>
      </c>
      <c r="H28" s="23">
        <v>0</v>
      </c>
      <c r="I28" s="23">
        <v>0</v>
      </c>
      <c r="J28" s="23">
        <v>0</v>
      </c>
      <c r="K28" s="23">
        <v>0</v>
      </c>
      <c r="L28" s="23">
        <v>0</v>
      </c>
      <c r="M28" s="23">
        <v>0</v>
      </c>
      <c r="N28" s="23">
        <v>0</v>
      </c>
      <c r="O28" s="23">
        <v>0</v>
      </c>
      <c r="P28" s="23">
        <v>0</v>
      </c>
      <c r="Q28" s="23">
        <v>0</v>
      </c>
      <c r="R28" s="23">
        <v>0</v>
      </c>
      <c r="S28" s="23">
        <v>0</v>
      </c>
      <c r="T28" s="23">
        <v>0</v>
      </c>
      <c r="U28" s="23">
        <v>0</v>
      </c>
      <c r="V28" s="23">
        <v>0</v>
      </c>
      <c r="W28" s="23">
        <v>0</v>
      </c>
    </row>
    <row r="29" spans="1:23" x14ac:dyDescent="0.2">
      <c r="A29" s="23">
        <v>0</v>
      </c>
      <c r="B29" s="23">
        <v>0</v>
      </c>
      <c r="C29" s="23">
        <v>0</v>
      </c>
      <c r="D29" s="23">
        <v>0</v>
      </c>
      <c r="E29" s="23">
        <v>0</v>
      </c>
      <c r="F29" s="23">
        <v>0</v>
      </c>
      <c r="G29" s="23">
        <v>0</v>
      </c>
      <c r="H29" s="23">
        <v>0</v>
      </c>
      <c r="I29" s="23">
        <v>0</v>
      </c>
      <c r="J29" s="23">
        <v>0</v>
      </c>
      <c r="K29" s="23">
        <v>0</v>
      </c>
      <c r="L29" s="23">
        <v>0</v>
      </c>
      <c r="M29" s="23">
        <v>0</v>
      </c>
      <c r="N29" s="23">
        <v>0</v>
      </c>
      <c r="O29" s="23">
        <v>0</v>
      </c>
      <c r="P29" s="23">
        <v>0</v>
      </c>
      <c r="Q29" s="23">
        <v>0</v>
      </c>
      <c r="R29" s="23">
        <v>0</v>
      </c>
      <c r="S29" s="23">
        <v>0</v>
      </c>
      <c r="T29" s="23">
        <v>0</v>
      </c>
      <c r="U29" s="23">
        <v>0</v>
      </c>
      <c r="V29" s="23">
        <v>0</v>
      </c>
      <c r="W29" s="23">
        <v>0</v>
      </c>
    </row>
    <row r="30" spans="1:23" x14ac:dyDescent="0.2">
      <c r="A30" s="23">
        <v>0</v>
      </c>
      <c r="B30" s="23">
        <v>0</v>
      </c>
      <c r="C30" s="23">
        <v>0</v>
      </c>
      <c r="D30" s="23">
        <v>0</v>
      </c>
      <c r="E30" s="23">
        <v>0</v>
      </c>
      <c r="F30" s="23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3">
        <v>0</v>
      </c>
      <c r="M30" s="23">
        <v>0</v>
      </c>
      <c r="N30" s="23">
        <v>0</v>
      </c>
      <c r="O30" s="23">
        <v>0</v>
      </c>
      <c r="P30" s="23">
        <v>0</v>
      </c>
      <c r="Q30" s="23">
        <v>0</v>
      </c>
      <c r="R30" s="23">
        <v>0</v>
      </c>
      <c r="S30" s="23">
        <v>0</v>
      </c>
      <c r="T30" s="23">
        <v>0</v>
      </c>
      <c r="U30" s="23">
        <v>0</v>
      </c>
      <c r="V30" s="23">
        <v>0</v>
      </c>
      <c r="W30" s="23">
        <v>0</v>
      </c>
    </row>
    <row r="31" spans="1:23" x14ac:dyDescent="0.2">
      <c r="A31" s="23">
        <v>0</v>
      </c>
      <c r="B31" s="23">
        <v>0</v>
      </c>
      <c r="C31" s="23">
        <v>0</v>
      </c>
      <c r="D31" s="23">
        <v>0</v>
      </c>
      <c r="E31" s="23">
        <v>0</v>
      </c>
      <c r="F31" s="23">
        <v>0</v>
      </c>
      <c r="G31" s="23">
        <v>0</v>
      </c>
      <c r="H31" s="23">
        <v>0</v>
      </c>
      <c r="I31" s="23">
        <v>0</v>
      </c>
      <c r="J31" s="23">
        <v>0</v>
      </c>
      <c r="K31" s="23">
        <v>0</v>
      </c>
      <c r="L31" s="23">
        <v>0</v>
      </c>
      <c r="M31" s="23">
        <v>0</v>
      </c>
      <c r="N31" s="23">
        <v>0</v>
      </c>
      <c r="O31" s="23">
        <v>0</v>
      </c>
      <c r="P31" s="23">
        <v>0</v>
      </c>
      <c r="Q31" s="23">
        <v>0</v>
      </c>
      <c r="R31" s="23">
        <v>0</v>
      </c>
      <c r="S31" s="23">
        <v>0</v>
      </c>
      <c r="T31" s="23">
        <v>0</v>
      </c>
      <c r="U31" s="23">
        <v>0</v>
      </c>
      <c r="V31" s="23">
        <v>0</v>
      </c>
      <c r="W31" s="23">
        <v>0</v>
      </c>
    </row>
    <row r="32" spans="1:23" x14ac:dyDescent="0.2">
      <c r="A32" s="23">
        <v>0</v>
      </c>
      <c r="B32" s="23">
        <v>0</v>
      </c>
      <c r="C32" s="23">
        <v>0</v>
      </c>
      <c r="D32" s="23">
        <v>0</v>
      </c>
      <c r="E32" s="23">
        <v>0</v>
      </c>
      <c r="F32" s="23">
        <v>0</v>
      </c>
      <c r="G32" s="23">
        <v>0</v>
      </c>
      <c r="H32" s="23">
        <v>0</v>
      </c>
      <c r="I32" s="23">
        <v>0</v>
      </c>
      <c r="J32" s="23">
        <v>0</v>
      </c>
      <c r="K32" s="23">
        <v>0</v>
      </c>
      <c r="L32" s="23">
        <v>0</v>
      </c>
      <c r="M32" s="23">
        <v>0</v>
      </c>
      <c r="N32" s="23">
        <v>0</v>
      </c>
      <c r="O32" s="23">
        <v>0</v>
      </c>
      <c r="P32" s="23">
        <v>0</v>
      </c>
      <c r="Q32" s="23">
        <v>0</v>
      </c>
      <c r="R32" s="23">
        <v>0</v>
      </c>
      <c r="S32" s="23">
        <v>0</v>
      </c>
      <c r="T32" s="23">
        <v>0</v>
      </c>
      <c r="U32" s="23">
        <v>0</v>
      </c>
      <c r="V32" s="23">
        <v>0</v>
      </c>
      <c r="W32" s="23">
        <v>0</v>
      </c>
    </row>
    <row r="33" spans="1:23" x14ac:dyDescent="0.2">
      <c r="A33" s="23">
        <v>0</v>
      </c>
      <c r="B33" s="23">
        <v>0</v>
      </c>
      <c r="C33" s="23">
        <v>0</v>
      </c>
      <c r="D33" s="23">
        <v>0</v>
      </c>
      <c r="E33" s="23">
        <v>0</v>
      </c>
      <c r="F33" s="23">
        <v>0</v>
      </c>
      <c r="G33" s="23">
        <v>0</v>
      </c>
      <c r="H33" s="23">
        <v>0</v>
      </c>
      <c r="I33" s="23">
        <v>0</v>
      </c>
      <c r="J33" s="23">
        <v>0</v>
      </c>
      <c r="K33" s="23">
        <v>0</v>
      </c>
      <c r="L33" s="23">
        <v>0</v>
      </c>
      <c r="M33" s="23">
        <v>0</v>
      </c>
      <c r="N33" s="23">
        <v>0</v>
      </c>
      <c r="O33" s="23">
        <v>0</v>
      </c>
      <c r="P33" s="23">
        <v>0</v>
      </c>
      <c r="Q33" s="23">
        <v>0</v>
      </c>
      <c r="R33" s="23">
        <v>0</v>
      </c>
      <c r="S33" s="23">
        <v>0</v>
      </c>
      <c r="T33" s="23">
        <v>0</v>
      </c>
      <c r="U33" s="23">
        <v>0</v>
      </c>
      <c r="V33" s="23">
        <v>0</v>
      </c>
      <c r="W33" s="23">
        <v>0</v>
      </c>
    </row>
    <row r="34" spans="1:23" x14ac:dyDescent="0.2">
      <c r="A34" s="23">
        <v>0</v>
      </c>
      <c r="B34" s="23">
        <v>0</v>
      </c>
      <c r="C34" s="23">
        <v>0</v>
      </c>
      <c r="D34" s="23">
        <v>0</v>
      </c>
      <c r="E34" s="23">
        <v>0</v>
      </c>
      <c r="F34" s="23">
        <v>0</v>
      </c>
      <c r="G34" s="23">
        <v>0</v>
      </c>
      <c r="H34" s="23">
        <v>0</v>
      </c>
      <c r="I34" s="23">
        <v>0</v>
      </c>
      <c r="J34" s="23">
        <v>0</v>
      </c>
      <c r="K34" s="23">
        <v>0</v>
      </c>
      <c r="L34" s="23">
        <v>0</v>
      </c>
      <c r="M34" s="23">
        <v>0</v>
      </c>
      <c r="N34" s="23">
        <v>0</v>
      </c>
      <c r="O34" s="23">
        <v>0</v>
      </c>
      <c r="P34" s="23">
        <v>0</v>
      </c>
      <c r="Q34" s="23">
        <v>0</v>
      </c>
      <c r="R34" s="23">
        <v>0</v>
      </c>
      <c r="S34" s="23">
        <v>0</v>
      </c>
      <c r="T34" s="23">
        <v>0</v>
      </c>
      <c r="U34" s="23">
        <v>0</v>
      </c>
      <c r="V34" s="23">
        <v>0</v>
      </c>
      <c r="W34" s="23">
        <v>0</v>
      </c>
    </row>
    <row r="35" spans="1:23" x14ac:dyDescent="0.2">
      <c r="A35" s="23">
        <v>0</v>
      </c>
      <c r="B35" s="23">
        <v>0</v>
      </c>
      <c r="C35" s="23">
        <v>0</v>
      </c>
      <c r="D35" s="23">
        <v>0</v>
      </c>
      <c r="E35" s="23">
        <v>0</v>
      </c>
      <c r="F35" s="23">
        <v>0</v>
      </c>
      <c r="G35" s="23">
        <v>0</v>
      </c>
      <c r="H35" s="23">
        <v>0</v>
      </c>
      <c r="I35" s="23">
        <v>0</v>
      </c>
      <c r="J35" s="23">
        <v>0</v>
      </c>
      <c r="K35" s="23">
        <v>0</v>
      </c>
      <c r="L35" s="23">
        <v>0</v>
      </c>
      <c r="M35" s="23">
        <v>0</v>
      </c>
      <c r="N35" s="23">
        <v>0</v>
      </c>
      <c r="O35" s="23">
        <v>0</v>
      </c>
      <c r="P35" s="23">
        <v>0</v>
      </c>
      <c r="Q35" s="23">
        <v>0</v>
      </c>
      <c r="R35" s="23">
        <v>0</v>
      </c>
      <c r="S35" s="23">
        <v>0</v>
      </c>
      <c r="T35" s="23">
        <v>0</v>
      </c>
      <c r="U35" s="23">
        <v>0</v>
      </c>
      <c r="V35" s="23">
        <v>0</v>
      </c>
      <c r="W35" s="23">
        <v>0</v>
      </c>
    </row>
    <row r="36" spans="1:23" x14ac:dyDescent="0.2">
      <c r="A36" s="23">
        <v>0</v>
      </c>
      <c r="B36" s="23">
        <v>0</v>
      </c>
      <c r="C36" s="23">
        <v>0</v>
      </c>
      <c r="D36" s="23">
        <v>0</v>
      </c>
      <c r="E36" s="23">
        <v>0</v>
      </c>
      <c r="F36" s="23">
        <v>0</v>
      </c>
      <c r="G36" s="23">
        <v>0</v>
      </c>
      <c r="H36" s="23">
        <v>0</v>
      </c>
      <c r="I36" s="23">
        <v>0</v>
      </c>
      <c r="J36" s="23">
        <v>0</v>
      </c>
      <c r="K36" s="23">
        <v>0</v>
      </c>
      <c r="L36" s="23">
        <v>0</v>
      </c>
      <c r="M36" s="23">
        <v>0</v>
      </c>
      <c r="N36" s="23">
        <v>0</v>
      </c>
      <c r="O36" s="23">
        <v>0</v>
      </c>
      <c r="P36" s="23">
        <v>0</v>
      </c>
      <c r="Q36" s="23">
        <v>0</v>
      </c>
      <c r="R36" s="23">
        <v>0</v>
      </c>
      <c r="S36" s="23">
        <v>0</v>
      </c>
      <c r="T36" s="23">
        <v>0</v>
      </c>
      <c r="U36" s="23">
        <v>0</v>
      </c>
      <c r="V36" s="23">
        <v>0</v>
      </c>
      <c r="W36" s="23">
        <v>0</v>
      </c>
    </row>
    <row r="37" spans="1:23" x14ac:dyDescent="0.2">
      <c r="A37" s="23">
        <v>0</v>
      </c>
      <c r="B37" s="23">
        <v>0</v>
      </c>
      <c r="C37" s="23">
        <v>0</v>
      </c>
      <c r="D37" s="23">
        <v>0</v>
      </c>
      <c r="E37" s="23">
        <v>0</v>
      </c>
      <c r="F37" s="23">
        <v>0</v>
      </c>
      <c r="G37" s="23">
        <v>0</v>
      </c>
      <c r="H37" s="23">
        <v>0</v>
      </c>
      <c r="I37" s="23">
        <v>0</v>
      </c>
      <c r="J37" s="23">
        <v>0</v>
      </c>
      <c r="K37" s="23">
        <v>0</v>
      </c>
      <c r="L37" s="23">
        <v>0</v>
      </c>
      <c r="M37" s="23">
        <v>0</v>
      </c>
      <c r="N37" s="23">
        <v>0</v>
      </c>
      <c r="O37" s="23">
        <v>0</v>
      </c>
      <c r="P37" s="23">
        <v>0</v>
      </c>
      <c r="Q37" s="23">
        <v>0</v>
      </c>
      <c r="R37" s="23">
        <v>0</v>
      </c>
      <c r="S37" s="23">
        <v>0</v>
      </c>
      <c r="T37" s="23">
        <v>0</v>
      </c>
      <c r="U37" s="23">
        <v>0</v>
      </c>
      <c r="V37" s="23">
        <v>0</v>
      </c>
      <c r="W37" s="23">
        <v>0</v>
      </c>
    </row>
    <row r="38" spans="1:23" x14ac:dyDescent="0.2">
      <c r="A38" s="23">
        <v>0</v>
      </c>
      <c r="B38" s="23">
        <v>0</v>
      </c>
      <c r="C38" s="23">
        <v>0</v>
      </c>
      <c r="D38" s="23">
        <v>0</v>
      </c>
      <c r="E38" s="23">
        <v>0</v>
      </c>
      <c r="F38" s="23">
        <v>0</v>
      </c>
      <c r="G38" s="23">
        <v>0</v>
      </c>
      <c r="H38" s="23">
        <v>0</v>
      </c>
      <c r="I38" s="23">
        <v>0</v>
      </c>
      <c r="J38" s="23">
        <v>0</v>
      </c>
      <c r="K38" s="23">
        <v>0</v>
      </c>
      <c r="L38" s="23">
        <v>0</v>
      </c>
      <c r="M38" s="23">
        <v>0</v>
      </c>
      <c r="N38" s="23">
        <v>0</v>
      </c>
      <c r="O38" s="23">
        <v>0</v>
      </c>
      <c r="P38" s="23">
        <v>0</v>
      </c>
      <c r="Q38" s="23">
        <v>0</v>
      </c>
      <c r="R38" s="23">
        <v>0</v>
      </c>
      <c r="S38" s="23">
        <v>0</v>
      </c>
      <c r="T38" s="23">
        <v>0</v>
      </c>
      <c r="U38" s="23">
        <v>0</v>
      </c>
      <c r="V38" s="23">
        <v>0</v>
      </c>
      <c r="W38" s="23">
        <v>0</v>
      </c>
    </row>
    <row r="39" spans="1:23" x14ac:dyDescent="0.2">
      <c r="A39" s="23">
        <v>0</v>
      </c>
      <c r="B39" s="23">
        <v>0</v>
      </c>
      <c r="C39" s="23">
        <v>0</v>
      </c>
      <c r="D39" s="23">
        <v>0</v>
      </c>
      <c r="E39" s="23">
        <v>0</v>
      </c>
      <c r="F39" s="23">
        <v>0</v>
      </c>
      <c r="G39" s="23">
        <v>0</v>
      </c>
      <c r="H39" s="23">
        <v>0</v>
      </c>
      <c r="I39" s="23">
        <v>0</v>
      </c>
      <c r="J39" s="23">
        <v>0</v>
      </c>
      <c r="K39" s="23">
        <v>0</v>
      </c>
      <c r="L39" s="23">
        <v>0</v>
      </c>
      <c r="M39" s="23">
        <v>0</v>
      </c>
      <c r="N39" s="23">
        <v>0</v>
      </c>
      <c r="O39" s="23">
        <v>0</v>
      </c>
      <c r="P39" s="23">
        <v>0</v>
      </c>
      <c r="Q39" s="23">
        <v>0</v>
      </c>
      <c r="R39" s="23">
        <v>0</v>
      </c>
      <c r="S39" s="23">
        <v>0</v>
      </c>
      <c r="T39" s="23">
        <v>0</v>
      </c>
      <c r="U39" s="23">
        <v>0</v>
      </c>
      <c r="V39" s="23">
        <v>0</v>
      </c>
      <c r="W39" s="23">
        <v>0</v>
      </c>
    </row>
    <row r="40" spans="1:23" x14ac:dyDescent="0.2">
      <c r="A40" s="23">
        <v>0</v>
      </c>
      <c r="B40" s="23">
        <v>0</v>
      </c>
      <c r="C40" s="23">
        <v>0</v>
      </c>
      <c r="D40" s="23">
        <v>0</v>
      </c>
      <c r="E40" s="23">
        <v>0</v>
      </c>
      <c r="F40" s="23">
        <v>0</v>
      </c>
      <c r="G40" s="23">
        <v>0</v>
      </c>
      <c r="H40" s="23">
        <v>0</v>
      </c>
      <c r="I40" s="23">
        <v>0</v>
      </c>
      <c r="J40" s="23">
        <v>0</v>
      </c>
      <c r="K40" s="23">
        <v>0</v>
      </c>
      <c r="L40" s="23">
        <v>0</v>
      </c>
      <c r="M40" s="23">
        <v>0</v>
      </c>
      <c r="N40" s="23">
        <v>0</v>
      </c>
      <c r="O40" s="23">
        <v>0</v>
      </c>
      <c r="P40" s="23">
        <v>0</v>
      </c>
      <c r="Q40" s="23">
        <v>0</v>
      </c>
      <c r="R40" s="23">
        <v>0</v>
      </c>
      <c r="S40" s="23">
        <v>0</v>
      </c>
      <c r="T40" s="23">
        <v>0</v>
      </c>
      <c r="U40" s="23">
        <v>0</v>
      </c>
      <c r="V40" s="23">
        <v>0</v>
      </c>
      <c r="W40" s="23">
        <v>0</v>
      </c>
    </row>
    <row r="41" spans="1:23" x14ac:dyDescent="0.2">
      <c r="A41" s="23">
        <v>0</v>
      </c>
      <c r="B41" s="23">
        <v>0</v>
      </c>
      <c r="C41" s="23">
        <v>0</v>
      </c>
      <c r="D41" s="23">
        <v>0</v>
      </c>
      <c r="E41" s="23">
        <v>0</v>
      </c>
      <c r="F41" s="23">
        <v>0</v>
      </c>
      <c r="G41" s="23">
        <v>0</v>
      </c>
      <c r="H41" s="23">
        <v>0</v>
      </c>
      <c r="I41" s="23">
        <v>0</v>
      </c>
      <c r="J41" s="23">
        <v>0</v>
      </c>
      <c r="K41" s="23">
        <v>0</v>
      </c>
      <c r="L41" s="23">
        <v>0</v>
      </c>
      <c r="M41" s="23">
        <v>0</v>
      </c>
      <c r="N41" s="23">
        <v>0</v>
      </c>
      <c r="O41" s="23">
        <v>0</v>
      </c>
      <c r="P41" s="23">
        <v>0</v>
      </c>
      <c r="Q41" s="23">
        <v>0</v>
      </c>
      <c r="R41" s="23">
        <v>0</v>
      </c>
      <c r="S41" s="23">
        <v>0</v>
      </c>
      <c r="T41" s="23">
        <v>0</v>
      </c>
      <c r="U41" s="23">
        <v>0</v>
      </c>
      <c r="V41" s="23">
        <v>0</v>
      </c>
      <c r="W41" s="23">
        <v>0</v>
      </c>
    </row>
    <row r="42" spans="1:23" x14ac:dyDescent="0.2">
      <c r="A42" s="23">
        <v>0</v>
      </c>
      <c r="B42" s="23">
        <v>0</v>
      </c>
      <c r="C42" s="23">
        <v>0</v>
      </c>
      <c r="D42" s="23">
        <v>0</v>
      </c>
      <c r="E42" s="23">
        <v>0</v>
      </c>
      <c r="F42" s="23">
        <v>0</v>
      </c>
      <c r="G42" s="23">
        <v>0</v>
      </c>
      <c r="H42" s="23">
        <v>0</v>
      </c>
      <c r="I42" s="23">
        <v>0</v>
      </c>
      <c r="J42" s="23">
        <v>0</v>
      </c>
      <c r="K42" s="23">
        <v>0</v>
      </c>
      <c r="L42" s="23">
        <v>0</v>
      </c>
      <c r="M42" s="23">
        <v>0</v>
      </c>
      <c r="N42" s="23">
        <v>0</v>
      </c>
      <c r="O42" s="23">
        <v>0</v>
      </c>
      <c r="P42" s="23">
        <v>0</v>
      </c>
      <c r="Q42" s="23">
        <v>0</v>
      </c>
      <c r="R42" s="23">
        <v>0</v>
      </c>
      <c r="S42" s="23">
        <v>0</v>
      </c>
      <c r="T42" s="23">
        <v>0</v>
      </c>
      <c r="U42" s="23">
        <v>0</v>
      </c>
      <c r="V42" s="23">
        <v>0</v>
      </c>
      <c r="W42" s="23">
        <v>0</v>
      </c>
    </row>
    <row r="43" spans="1:23" x14ac:dyDescent="0.2">
      <c r="A43" s="23">
        <v>0</v>
      </c>
      <c r="B43" s="23">
        <v>0</v>
      </c>
      <c r="C43" s="23">
        <v>0</v>
      </c>
      <c r="D43" s="23">
        <v>0</v>
      </c>
      <c r="E43" s="23">
        <v>0</v>
      </c>
      <c r="F43" s="23">
        <v>0</v>
      </c>
      <c r="G43" s="23">
        <v>0</v>
      </c>
      <c r="H43" s="23">
        <v>0</v>
      </c>
      <c r="I43" s="23">
        <v>0</v>
      </c>
      <c r="J43" s="23">
        <v>0</v>
      </c>
      <c r="K43" s="23">
        <v>0</v>
      </c>
      <c r="L43" s="23">
        <v>0</v>
      </c>
      <c r="M43" s="23">
        <v>0</v>
      </c>
      <c r="N43" s="23">
        <v>0</v>
      </c>
      <c r="O43" s="23">
        <v>0</v>
      </c>
      <c r="P43" s="23">
        <v>0</v>
      </c>
      <c r="Q43" s="23">
        <v>0</v>
      </c>
      <c r="R43" s="23">
        <v>0</v>
      </c>
      <c r="S43" s="23">
        <v>0</v>
      </c>
      <c r="T43" s="23">
        <v>0</v>
      </c>
      <c r="U43" s="23">
        <v>0</v>
      </c>
      <c r="V43" s="23">
        <v>0</v>
      </c>
      <c r="W43" s="23">
        <v>0</v>
      </c>
    </row>
    <row r="44" spans="1:23" x14ac:dyDescent="0.2">
      <c r="A44" s="23">
        <v>0</v>
      </c>
      <c r="B44" s="23">
        <v>0</v>
      </c>
      <c r="C44" s="23">
        <v>0</v>
      </c>
      <c r="D44" s="23">
        <v>0</v>
      </c>
      <c r="E44" s="23">
        <v>0</v>
      </c>
      <c r="F44" s="23">
        <v>0</v>
      </c>
      <c r="G44" s="23">
        <v>0</v>
      </c>
      <c r="H44" s="23">
        <v>0</v>
      </c>
      <c r="I44" s="23">
        <v>0</v>
      </c>
      <c r="J44" s="23">
        <v>0</v>
      </c>
      <c r="K44" s="23">
        <v>0</v>
      </c>
      <c r="L44" s="23">
        <v>0</v>
      </c>
      <c r="M44" s="23">
        <v>0</v>
      </c>
      <c r="N44" s="23">
        <v>0</v>
      </c>
      <c r="O44" s="23">
        <v>0</v>
      </c>
      <c r="P44" s="23">
        <v>0</v>
      </c>
      <c r="Q44" s="23">
        <v>0</v>
      </c>
      <c r="R44" s="23">
        <v>0</v>
      </c>
      <c r="S44" s="23">
        <v>0</v>
      </c>
      <c r="T44" s="23">
        <v>0</v>
      </c>
      <c r="U44" s="23">
        <v>0</v>
      </c>
      <c r="V44" s="23">
        <v>0</v>
      </c>
      <c r="W44" s="23">
        <v>0</v>
      </c>
    </row>
    <row r="45" spans="1:23" x14ac:dyDescent="0.2">
      <c r="A45" s="23">
        <v>0</v>
      </c>
      <c r="B45" s="23">
        <v>0</v>
      </c>
      <c r="C45" s="23">
        <v>0</v>
      </c>
      <c r="D45" s="23">
        <v>0</v>
      </c>
      <c r="E45" s="23">
        <v>0</v>
      </c>
      <c r="F45" s="23">
        <v>0</v>
      </c>
      <c r="G45" s="23">
        <v>0</v>
      </c>
      <c r="H45" s="23">
        <v>0</v>
      </c>
      <c r="I45" s="23">
        <v>0</v>
      </c>
      <c r="J45" s="23">
        <v>0</v>
      </c>
      <c r="K45" s="23">
        <v>0</v>
      </c>
      <c r="L45" s="23">
        <v>0</v>
      </c>
      <c r="M45" s="23">
        <v>0</v>
      </c>
      <c r="N45" s="23">
        <v>0</v>
      </c>
      <c r="O45" s="23">
        <v>0</v>
      </c>
      <c r="P45" s="23">
        <v>0</v>
      </c>
      <c r="Q45" s="23">
        <v>0</v>
      </c>
      <c r="R45" s="23">
        <v>0</v>
      </c>
      <c r="S45" s="23">
        <v>0</v>
      </c>
      <c r="T45" s="23">
        <v>0</v>
      </c>
      <c r="U45" s="23">
        <v>0</v>
      </c>
      <c r="V45" s="23">
        <v>0</v>
      </c>
      <c r="W45" s="23">
        <v>0</v>
      </c>
    </row>
    <row r="46" spans="1:23" x14ac:dyDescent="0.2">
      <c r="A46" s="23">
        <v>0</v>
      </c>
      <c r="B46" s="23">
        <v>0</v>
      </c>
      <c r="C46" s="23">
        <v>0</v>
      </c>
      <c r="D46" s="23">
        <v>0</v>
      </c>
      <c r="E46" s="23">
        <v>0</v>
      </c>
      <c r="F46" s="23">
        <v>0</v>
      </c>
      <c r="G46" s="23">
        <v>0</v>
      </c>
      <c r="H46" s="23">
        <v>0</v>
      </c>
      <c r="I46" s="23">
        <v>0</v>
      </c>
      <c r="J46" s="23">
        <v>0</v>
      </c>
      <c r="K46" s="23">
        <v>0</v>
      </c>
      <c r="L46" s="23">
        <v>0</v>
      </c>
      <c r="M46" s="23">
        <v>0</v>
      </c>
      <c r="N46" s="23">
        <v>0</v>
      </c>
      <c r="O46" s="23"/>
      <c r="P46" s="23"/>
      <c r="Q46" s="23"/>
      <c r="R46" s="23"/>
      <c r="S46" s="23"/>
      <c r="T46" s="23"/>
      <c r="U46" s="23"/>
      <c r="V46" s="23"/>
      <c r="W46" s="23"/>
    </row>
    <row r="47" spans="1:23" x14ac:dyDescent="0.2">
      <c r="A47" s="23">
        <v>0</v>
      </c>
      <c r="B47" s="23">
        <v>0</v>
      </c>
      <c r="C47" s="23">
        <v>0</v>
      </c>
      <c r="D47" s="23">
        <v>0</v>
      </c>
      <c r="E47" s="23">
        <v>0</v>
      </c>
      <c r="F47" s="23">
        <v>0</v>
      </c>
      <c r="G47" s="23">
        <v>0</v>
      </c>
      <c r="H47" s="23">
        <v>0</v>
      </c>
      <c r="I47" s="23">
        <v>0</v>
      </c>
      <c r="J47" s="23">
        <v>0</v>
      </c>
      <c r="K47" s="23">
        <v>0</v>
      </c>
      <c r="L47" s="23">
        <v>0</v>
      </c>
      <c r="M47" s="23">
        <v>0</v>
      </c>
      <c r="N47" s="23">
        <v>0</v>
      </c>
      <c r="O47" s="23"/>
      <c r="P47" s="23"/>
      <c r="Q47" s="23"/>
      <c r="R47" s="23"/>
      <c r="S47" s="23"/>
      <c r="T47" s="23"/>
      <c r="U47" s="23"/>
      <c r="V47" s="23"/>
      <c r="W47" s="23"/>
    </row>
    <row r="48" spans="1:23" x14ac:dyDescent="0.2">
      <c r="A48" s="23">
        <v>0</v>
      </c>
      <c r="B48" s="23">
        <v>0</v>
      </c>
      <c r="C48" s="23">
        <v>0</v>
      </c>
      <c r="D48" s="23">
        <v>0</v>
      </c>
      <c r="E48" s="23">
        <v>0</v>
      </c>
      <c r="F48" s="23">
        <v>0</v>
      </c>
      <c r="G48" s="23">
        <v>0</v>
      </c>
      <c r="H48" s="23">
        <v>0</v>
      </c>
      <c r="I48" s="23">
        <v>0</v>
      </c>
      <c r="J48" s="23">
        <v>0</v>
      </c>
      <c r="K48" s="23">
        <v>0</v>
      </c>
      <c r="L48" s="23">
        <v>0</v>
      </c>
      <c r="M48" s="23">
        <v>0</v>
      </c>
      <c r="N48" s="23">
        <v>0</v>
      </c>
      <c r="O48" s="23"/>
      <c r="P48" s="23"/>
      <c r="Q48" s="23"/>
      <c r="R48" s="23"/>
      <c r="S48" s="23"/>
      <c r="T48" s="23"/>
      <c r="U48" s="23"/>
      <c r="V48" s="23"/>
      <c r="W48" s="23"/>
    </row>
    <row r="49" spans="1:23" x14ac:dyDescent="0.2">
      <c r="A49" s="23">
        <v>0</v>
      </c>
      <c r="B49" s="23">
        <v>0</v>
      </c>
      <c r="C49" s="23">
        <v>0</v>
      </c>
      <c r="D49" s="23">
        <v>0</v>
      </c>
      <c r="E49" s="23">
        <v>0</v>
      </c>
      <c r="F49" s="23">
        <v>0</v>
      </c>
      <c r="G49" s="23">
        <v>0</v>
      </c>
      <c r="H49" s="23">
        <v>0</v>
      </c>
      <c r="I49" s="23">
        <v>0</v>
      </c>
      <c r="J49" s="23">
        <v>0</v>
      </c>
      <c r="K49" s="23">
        <v>0</v>
      </c>
      <c r="L49" s="23">
        <v>0</v>
      </c>
      <c r="M49" s="23">
        <v>0</v>
      </c>
      <c r="N49" s="23">
        <v>0</v>
      </c>
      <c r="O49" s="23"/>
      <c r="P49" s="23"/>
      <c r="Q49" s="23"/>
      <c r="R49" s="23"/>
      <c r="S49" s="23"/>
      <c r="T49" s="23"/>
      <c r="U49" s="23"/>
      <c r="V49" s="23"/>
      <c r="W49" s="23"/>
    </row>
    <row r="50" spans="1:23" x14ac:dyDescent="0.2">
      <c r="A50" s="23">
        <v>0</v>
      </c>
      <c r="B50" s="23">
        <v>0</v>
      </c>
      <c r="C50" s="23">
        <v>0</v>
      </c>
      <c r="D50" s="23">
        <v>0</v>
      </c>
      <c r="E50" s="23">
        <v>0</v>
      </c>
      <c r="F50" s="23">
        <v>0</v>
      </c>
      <c r="G50" s="23">
        <v>0</v>
      </c>
      <c r="H50" s="23">
        <v>0</v>
      </c>
      <c r="I50" s="23">
        <v>0</v>
      </c>
      <c r="J50" s="23">
        <v>0</v>
      </c>
      <c r="K50" s="23">
        <v>0</v>
      </c>
      <c r="L50" s="23">
        <v>0</v>
      </c>
      <c r="M50" s="23">
        <v>0</v>
      </c>
      <c r="N50" s="23">
        <v>0</v>
      </c>
      <c r="O50" s="23"/>
      <c r="P50" s="23"/>
      <c r="Q50" s="23"/>
      <c r="R50" s="23"/>
      <c r="S50" s="23"/>
      <c r="T50" s="23"/>
      <c r="U50" s="23"/>
      <c r="V50" s="23"/>
      <c r="W50" s="23"/>
    </row>
    <row r="51" spans="1:23" ht="13.5" thickBot="1" x14ac:dyDescent="0.25">
      <c r="A51" s="24">
        <v>0</v>
      </c>
      <c r="B51" s="24">
        <v>0</v>
      </c>
      <c r="C51" s="24">
        <v>0</v>
      </c>
      <c r="D51" s="24">
        <v>0</v>
      </c>
      <c r="E51" s="24">
        <v>0</v>
      </c>
      <c r="F51" s="24">
        <v>0</v>
      </c>
      <c r="G51" s="24">
        <v>0</v>
      </c>
      <c r="H51" s="24">
        <v>0</v>
      </c>
      <c r="I51" s="24">
        <v>0</v>
      </c>
      <c r="J51" s="24">
        <v>0</v>
      </c>
      <c r="K51" s="24">
        <v>0</v>
      </c>
      <c r="L51" s="24">
        <v>0</v>
      </c>
      <c r="M51" s="24">
        <v>0</v>
      </c>
      <c r="N51" s="24">
        <v>0</v>
      </c>
      <c r="O51" s="24"/>
      <c r="P51" s="24"/>
      <c r="Q51" s="24"/>
      <c r="R51" s="24"/>
      <c r="S51" s="24"/>
      <c r="T51" s="24"/>
      <c r="U51" s="24"/>
      <c r="V51" s="24"/>
      <c r="W51" s="2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>
      <selection activeCell="I4" sqref="I4"/>
    </sheetView>
  </sheetViews>
  <sheetFormatPr baseColWidth="10" defaultRowHeight="12.75" x14ac:dyDescent="0.2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INPUT</vt:lpstr>
      <vt:lpstr>OUTPUT Longitudinale</vt:lpstr>
      <vt:lpstr>Hoja3</vt:lpstr>
    </vt:vector>
  </TitlesOfParts>
  <Company>IBERDROLA S.A.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x003222</dc:creator>
  <cp:lastModifiedBy>luis coco enriquez</cp:lastModifiedBy>
  <dcterms:created xsi:type="dcterms:W3CDTF">2013-11-07T08:27:18Z</dcterms:created>
  <dcterms:modified xsi:type="dcterms:W3CDTF">2019-08-20T11:56:00Z</dcterms:modified>
</cp:coreProperties>
</file>