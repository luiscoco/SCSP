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15" windowWidth="18795" windowHeight="8700" tabRatio="293" activeTab="1"/>
  </bookViews>
  <sheets>
    <sheet name="INPUT" sheetId="1" r:id="rId1"/>
    <sheet name="OUTPUT" sheetId="2" r:id="rId2"/>
    <sheet name="Hoja3" sheetId="3" r:id="rId3"/>
  </sheets>
  <functionGroups/>
  <calcPr calcId="125725"/>
</workbook>
</file>

<file path=xl/calcChain.xml><?xml version="1.0" encoding="utf-8"?>
<calcChain xmlns="http://schemas.openxmlformats.org/spreadsheetml/2006/main">
  <c r="M1" i="1"/>
  <c r="B1"/>
  <c r="B27"/>
</calcChain>
</file>

<file path=xl/sharedStrings.xml><?xml version="1.0" encoding="utf-8"?>
<sst xmlns="http://schemas.openxmlformats.org/spreadsheetml/2006/main" count="84" uniqueCount="76">
  <si>
    <t>CO2</t>
  </si>
  <si>
    <t>m (kg/s)</t>
  </si>
  <si>
    <t>s_abs (m)</t>
  </si>
  <si>
    <t>L_tot (m)</t>
  </si>
  <si>
    <t>L_tratto (m)</t>
  </si>
  <si>
    <t>v_media (m/s)</t>
  </si>
  <si>
    <t>T_out_loop (K)</t>
  </si>
  <si>
    <t>P_out_loop (MPa)</t>
  </si>
  <si>
    <t>ΔP_loop (MPa)</t>
  </si>
  <si>
    <t>T_out_HC (K)</t>
  </si>
  <si>
    <t>T_out_HC (°C)</t>
  </si>
  <si>
    <t>fluido_loop (kg)</t>
  </si>
  <si>
    <t>fluido_campo (kg)</t>
  </si>
  <si>
    <t>fluido_tot (kg)</t>
  </si>
  <si>
    <t>fluido_tot (tonn)</t>
  </si>
  <si>
    <t>ΔT_ultimo_loop (K)</t>
  </si>
  <si>
    <t>Check T_out_ultimo (K)</t>
  </si>
  <si>
    <t>Check P_out_ultimo (MPa)</t>
  </si>
  <si>
    <t>ΔP_ultimo_loop (MPa)</t>
  </si>
  <si>
    <t>Pendenza_P</t>
  </si>
  <si>
    <t>Intercetta_P</t>
  </si>
  <si>
    <t>apertura (m) (Longitud Apertura)</t>
  </si>
  <si>
    <t>v_6 (m/s) (Velocidad Viento)</t>
  </si>
  <si>
    <t>DNI (W/m2) (Radiación Directa Normal Incidente)</t>
  </si>
  <si>
    <t>T_amb (K) (Temperatura Ambiente)</t>
  </si>
  <si>
    <t>D5 (m) (Diámetro Exterior Envoltura Vidrio)</t>
  </si>
  <si>
    <t>D4 (m) (Diámetro Interior Envoltura Vidrio)</t>
  </si>
  <si>
    <t>D2 (m) (Diámetro Interior Tubo Absorbedor)</t>
  </si>
  <si>
    <t>D3 (m) (Diámetro Exterior Turbo Absorbedor)</t>
  </si>
  <si>
    <t>T_in (K) (Temperatura de Entrada)</t>
  </si>
  <si>
    <t>P_in (MPa) (Presión de Entrada)</t>
  </si>
  <si>
    <t>eta_ott (Eficiencia Óptica Nominal)</t>
  </si>
  <si>
    <t>n_loop (Nº de Lazos)</t>
  </si>
  <si>
    <t>N_tramos (Nº de Tramos de cada Lazo)</t>
  </si>
  <si>
    <t>rugosità_piping (m) (Rugosidad Tuberías)</t>
  </si>
  <si>
    <t>fluido (Tipo de Fluido)</t>
  </si>
  <si>
    <t>SM (Múltiplo Solar)</t>
  </si>
  <si>
    <t>Primer Lazo</t>
  </si>
  <si>
    <t>T_in (K) (Temperatura Entrada)</t>
  </si>
  <si>
    <t>P_in (MPa) (Presión Entrada)</t>
  </si>
  <si>
    <t>T_out (K) (Temperatura Salida)</t>
  </si>
  <si>
    <t>P_out (MPa) (Presión Salida)</t>
  </si>
  <si>
    <r>
      <rPr>
        <sz val="11"/>
        <color theme="1"/>
        <rFont val="Calibri"/>
        <family val="2"/>
        <scheme val="minor"/>
      </rPr>
      <t>Varios Lazos (n_loop):</t>
    </r>
    <r>
      <rPr>
        <b/>
        <sz val="11"/>
        <color rgb="FF0070C0"/>
        <rFont val="Calibri"/>
        <family val="2"/>
        <scheme val="minor"/>
      </rPr>
      <t xml:space="preserve">
Output ricevitore singolo_vba()</t>
    </r>
  </si>
  <si>
    <t>N_sez_campo (Nº Secciones/Grupos de Lazos)</t>
  </si>
  <si>
    <t>ΔT_primer_loop (K)</t>
  </si>
  <si>
    <t>ΔP_primer_loop (MPa)</t>
  </si>
  <si>
    <t>Nº Tramo</t>
  </si>
  <si>
    <t>T2</t>
  </si>
  <si>
    <t>T3</t>
  </si>
  <si>
    <t>T4</t>
  </si>
  <si>
    <t>T5</t>
  </si>
  <si>
    <t>MPa</t>
  </si>
  <si>
    <t>Kelvin</t>
  </si>
  <si>
    <t>%</t>
  </si>
  <si>
    <t>m/s</t>
  </si>
  <si>
    <t>W/m</t>
  </si>
  <si>
    <t>Area Pertura Efectiva del Campo solar /(Nº Loops x Longitud de Apertura de un colector solar)</t>
  </si>
  <si>
    <t>S_tot (m2) (Área de Apertura Effectiva de Campo Solar)</t>
  </si>
  <si>
    <t>eps_glass (Emisividad de la Envolvente de Vidrio)</t>
  </si>
  <si>
    <t>tau_env (Transmitancia de la Envolvente de Vidrio)</t>
  </si>
  <si>
    <t>alfa_env (Absortividad de la Envolvente de Vidrio)</t>
  </si>
  <si>
    <t>alfa_abs (Absortividad del Tubo Absorbedor)</t>
  </si>
  <si>
    <t>Los Datos de Entrada Secundarios están marcados en "VERDE"</t>
  </si>
  <si>
    <t>Los Datos de Entrada Principales están marcados en "AZUL"</t>
  </si>
  <si>
    <t>Los Datos de Salida están marcados en "NARANJA"</t>
  </si>
  <si>
    <t>Tinput</t>
  </si>
  <si>
    <t>Taverage</t>
  </si>
  <si>
    <t>Tout</t>
  </si>
  <si>
    <t>Qloss</t>
  </si>
  <si>
    <t>Thermal Effic.</t>
  </si>
  <si>
    <t>Mean Velocity</t>
  </si>
  <si>
    <t>Pinput</t>
  </si>
  <si>
    <t>Paverage</t>
  </si>
  <si>
    <t>Pout</t>
  </si>
  <si>
    <t>Thermal Efficiency</t>
  </si>
  <si>
    <t>Mean Heat Losses</t>
  </si>
</sst>
</file>

<file path=xl/styles.xml><?xml version="1.0" encoding="utf-8"?>
<styleSheet xmlns="http://schemas.openxmlformats.org/spreadsheetml/2006/main">
  <numFmts count="5">
    <numFmt numFmtId="164" formatCode="_-&quot;€&quot;\ * #,##0.00_-;\-&quot;€&quot;\ * #,##0.00_-;_-&quot;€&quot;\ * &quot;-&quot;??_-;_-@_-"/>
    <numFmt numFmtId="165" formatCode="0.0000"/>
    <numFmt numFmtId="166" formatCode="0.000"/>
    <numFmt numFmtId="167" formatCode="0.0000000"/>
    <numFmt numFmtId="168" formatCode="0.0"/>
  </numFmts>
  <fonts count="16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0"/>
      <name val="Arial"/>
      <family val="2"/>
    </font>
    <font>
      <sz val="11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</font>
    <font>
      <sz val="10"/>
      <color rgb="FF000000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66FF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</borders>
  <cellStyleXfs count="5">
    <xf numFmtId="0" fontId="0" fillId="0" borderId="0"/>
    <xf numFmtId="0" fontId="5" fillId="0" borderId="0"/>
    <xf numFmtId="9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10" fillId="0" borderId="0"/>
  </cellStyleXfs>
  <cellXfs count="74">
    <xf numFmtId="0" fontId="0" fillId="0" borderId="0" xfId="0"/>
    <xf numFmtId="0" fontId="5" fillId="0" borderId="0" xfId="1"/>
    <xf numFmtId="0" fontId="5" fillId="0" borderId="0" xfId="1" applyBorder="1"/>
    <xf numFmtId="165" fontId="5" fillId="0" borderId="0" xfId="1" applyNumberFormat="1" applyBorder="1"/>
    <xf numFmtId="165" fontId="5" fillId="0" borderId="0" xfId="1" applyNumberFormat="1"/>
    <xf numFmtId="165" fontId="5" fillId="0" borderId="1" xfId="1" applyNumberFormat="1" applyBorder="1"/>
    <xf numFmtId="0" fontId="5" fillId="0" borderId="0" xfId="1" applyFill="1" applyBorder="1"/>
    <xf numFmtId="166" fontId="5" fillId="0" borderId="1" xfId="1" applyNumberFormat="1" applyBorder="1"/>
    <xf numFmtId="166" fontId="5" fillId="0" borderId="0" xfId="1" applyNumberFormat="1"/>
    <xf numFmtId="1" fontId="5" fillId="0" borderId="0" xfId="1" applyNumberFormat="1" applyBorder="1" applyProtection="1">
      <protection locked="0"/>
    </xf>
    <xf numFmtId="166" fontId="5" fillId="0" borderId="0" xfId="1" applyNumberFormat="1" applyBorder="1" applyProtection="1">
      <protection locked="0"/>
    </xf>
    <xf numFmtId="166" fontId="5" fillId="0" borderId="0" xfId="1" applyNumberFormat="1" applyFill="1" applyBorder="1"/>
    <xf numFmtId="0" fontId="6" fillId="0" borderId="0" xfId="1" applyFont="1" applyBorder="1"/>
    <xf numFmtId="0" fontId="11" fillId="0" borderId="0" xfId="1" applyFont="1" applyBorder="1"/>
    <xf numFmtId="165" fontId="11" fillId="0" borderId="0" xfId="1" applyNumberFormat="1" applyFont="1" applyBorder="1"/>
    <xf numFmtId="0" fontId="12" fillId="0" borderId="0" xfId="1" applyFont="1" applyBorder="1"/>
    <xf numFmtId="0" fontId="4" fillId="0" borderId="1" xfId="1" applyFont="1" applyBorder="1"/>
    <xf numFmtId="0" fontId="14" fillId="0" borderId="8" xfId="0" applyFont="1" applyBorder="1"/>
    <xf numFmtId="0" fontId="0" fillId="0" borderId="9" xfId="0" applyBorder="1"/>
    <xf numFmtId="0" fontId="15" fillId="0" borderId="9" xfId="0" applyFont="1" applyBorder="1"/>
    <xf numFmtId="0" fontId="0" fillId="0" borderId="8" xfId="0" applyBorder="1"/>
    <xf numFmtId="0" fontId="0" fillId="0" borderId="10" xfId="0" applyBorder="1"/>
    <xf numFmtId="0" fontId="5" fillId="2" borderId="1" xfId="1" applyFill="1" applyBorder="1"/>
    <xf numFmtId="166" fontId="5" fillId="2" borderId="1" xfId="1" applyNumberFormat="1" applyFill="1" applyBorder="1"/>
    <xf numFmtId="0" fontId="4" fillId="2" borderId="1" xfId="1" applyFont="1" applyFill="1" applyBorder="1"/>
    <xf numFmtId="1" fontId="5" fillId="2" borderId="1" xfId="1" applyNumberFormat="1" applyFill="1" applyBorder="1"/>
    <xf numFmtId="167" fontId="5" fillId="2" borderId="1" xfId="1" applyNumberFormat="1" applyFill="1" applyBorder="1"/>
    <xf numFmtId="0" fontId="5" fillId="2" borderId="1" xfId="1" applyFill="1" applyBorder="1" applyAlignment="1">
      <alignment horizontal="right"/>
    </xf>
    <xf numFmtId="168" fontId="5" fillId="2" borderId="1" xfId="1" applyNumberFormat="1" applyFill="1" applyBorder="1"/>
    <xf numFmtId="0" fontId="3" fillId="2" borderId="1" xfId="1" applyFont="1" applyFill="1" applyBorder="1"/>
    <xf numFmtId="0" fontId="5" fillId="0" borderId="0" xfId="1" applyBorder="1" applyAlignment="1">
      <alignment horizontal="center"/>
    </xf>
    <xf numFmtId="0" fontId="0" fillId="0" borderId="0" xfId="0" applyBorder="1"/>
    <xf numFmtId="166" fontId="5" fillId="0" borderId="0" xfId="1" applyNumberFormat="1" applyBorder="1"/>
    <xf numFmtId="0" fontId="5" fillId="0" borderId="0" xfId="1" applyBorder="1" applyAlignment="1">
      <alignment horizontal="right"/>
    </xf>
    <xf numFmtId="2" fontId="5" fillId="0" borderId="0" xfId="1" applyNumberFormat="1" applyBorder="1"/>
    <xf numFmtId="0" fontId="7" fillId="0" borderId="0" xfId="1" applyFont="1" applyBorder="1"/>
    <xf numFmtId="0" fontId="9" fillId="0" borderId="0" xfId="1" applyFont="1" applyBorder="1" applyAlignment="1">
      <alignment horizontal="center"/>
    </xf>
    <xf numFmtId="0" fontId="6" fillId="0" borderId="0" xfId="1" applyFont="1" applyFill="1" applyBorder="1"/>
    <xf numFmtId="0" fontId="3" fillId="0" borderId="0" xfId="1" applyFont="1" applyBorder="1"/>
    <xf numFmtId="165" fontId="5" fillId="3" borderId="1" xfId="1" applyNumberFormat="1" applyFill="1" applyBorder="1"/>
    <xf numFmtId="0" fontId="5" fillId="3" borderId="0" xfId="1" applyFill="1" applyBorder="1"/>
    <xf numFmtId="0" fontId="3" fillId="4" borderId="1" xfId="1" applyFont="1" applyFill="1" applyBorder="1"/>
    <xf numFmtId="1" fontId="5" fillId="4" borderId="1" xfId="1" applyNumberFormat="1" applyFill="1" applyBorder="1"/>
    <xf numFmtId="0" fontId="4" fillId="4" borderId="1" xfId="1" applyFont="1" applyFill="1" applyBorder="1"/>
    <xf numFmtId="0" fontId="5" fillId="5" borderId="1" xfId="1" applyFill="1" applyBorder="1"/>
    <xf numFmtId="165" fontId="5" fillId="4" borderId="1" xfId="1" applyNumberFormat="1" applyFill="1" applyBorder="1"/>
    <xf numFmtId="0" fontId="4" fillId="5" borderId="1" xfId="1" applyFont="1" applyFill="1" applyBorder="1"/>
    <xf numFmtId="168" fontId="5" fillId="5" borderId="1" xfId="1" applyNumberFormat="1" applyFill="1" applyBorder="1"/>
    <xf numFmtId="166" fontId="5" fillId="5" borderId="1" xfId="1" applyNumberFormat="1" applyFill="1" applyBorder="1"/>
    <xf numFmtId="0" fontId="5" fillId="5" borderId="2" xfId="1" applyFill="1" applyBorder="1"/>
    <xf numFmtId="165" fontId="5" fillId="5" borderId="2" xfId="1" applyNumberFormat="1" applyFill="1" applyBorder="1"/>
    <xf numFmtId="165" fontId="5" fillId="5" borderId="1" xfId="1" applyNumberFormat="1" applyFill="1" applyBorder="1"/>
    <xf numFmtId="0" fontId="5" fillId="5" borderId="1" xfId="1" applyFont="1" applyFill="1" applyBorder="1"/>
    <xf numFmtId="0" fontId="6" fillId="5" borderId="1" xfId="1" applyFont="1" applyFill="1" applyBorder="1"/>
    <xf numFmtId="0" fontId="6" fillId="6" borderId="1" xfId="1" applyFont="1" applyFill="1" applyBorder="1"/>
    <xf numFmtId="165" fontId="5" fillId="6" borderId="1" xfId="1" applyNumberFormat="1" applyFill="1" applyBorder="1"/>
    <xf numFmtId="0" fontId="8" fillId="5" borderId="1" xfId="1" applyFont="1" applyFill="1" applyBorder="1"/>
    <xf numFmtId="165" fontId="8" fillId="5" borderId="1" xfId="1" applyNumberFormat="1" applyFont="1" applyFill="1" applyBorder="1"/>
    <xf numFmtId="0" fontId="5" fillId="4" borderId="3" xfId="1" applyFill="1" applyBorder="1"/>
    <xf numFmtId="165" fontId="5" fillId="4" borderId="3" xfId="1" applyNumberFormat="1" applyFill="1" applyBorder="1"/>
    <xf numFmtId="0" fontId="2" fillId="4" borderId="0" xfId="1" applyFont="1" applyFill="1" applyBorder="1"/>
    <xf numFmtId="0" fontId="5" fillId="4" borderId="0" xfId="1" applyFill="1" applyBorder="1"/>
    <xf numFmtId="0" fontId="2" fillId="2" borderId="0" xfId="1" applyFont="1" applyFill="1" applyBorder="1"/>
    <xf numFmtId="0" fontId="5" fillId="2" borderId="0" xfId="1" applyFill="1" applyBorder="1"/>
    <xf numFmtId="0" fontId="2" fillId="5" borderId="0" xfId="1" applyFont="1" applyFill="1" applyBorder="1"/>
    <xf numFmtId="0" fontId="5" fillId="5" borderId="0" xfId="1" applyFill="1" applyBorder="1"/>
    <xf numFmtId="0" fontId="8" fillId="0" borderId="1" xfId="1" applyFont="1" applyBorder="1" applyAlignment="1">
      <alignment horizontal="center"/>
    </xf>
    <xf numFmtId="0" fontId="8" fillId="0" borderId="0" xfId="1" applyFont="1" applyBorder="1" applyAlignment="1">
      <alignment horizontal="center"/>
    </xf>
    <xf numFmtId="0" fontId="9" fillId="0" borderId="4" xfId="1" applyFont="1" applyBorder="1" applyAlignment="1">
      <alignment horizontal="center" vertical="center" wrapText="1"/>
    </xf>
    <xf numFmtId="0" fontId="9" fillId="0" borderId="5" xfId="1" applyFont="1" applyBorder="1" applyAlignment="1">
      <alignment horizontal="center" vertical="center" wrapText="1"/>
    </xf>
    <xf numFmtId="0" fontId="9" fillId="0" borderId="6" xfId="1" applyFont="1" applyBorder="1" applyAlignment="1">
      <alignment horizontal="center" vertical="center" wrapText="1"/>
    </xf>
    <xf numFmtId="0" fontId="9" fillId="0" borderId="7" xfId="1" applyFont="1" applyBorder="1" applyAlignment="1">
      <alignment horizontal="center" vertical="center" wrapText="1"/>
    </xf>
    <xf numFmtId="0" fontId="4" fillId="0" borderId="0" xfId="1" applyFont="1" applyBorder="1" applyAlignment="1">
      <alignment horizontal="center"/>
    </xf>
    <xf numFmtId="0" fontId="5" fillId="0" borderId="0" xfId="1" applyBorder="1" applyAlignment="1">
      <alignment horizontal="center"/>
    </xf>
  </cellXfs>
  <cellStyles count="5">
    <cellStyle name="Moneda 2" xfId="3"/>
    <cellStyle name="Normal" xfId="0" builtinId="0"/>
    <cellStyle name="Normal 2" xfId="1"/>
    <cellStyle name="Normale 2" xfId="4"/>
    <cellStyle name="Porcentual 2" xfId="2"/>
  </cellStyles>
  <dxfs count="0"/>
  <tableStyles count="0" defaultTableStyle="TableStyleMedium9" defaultPivotStyle="PivotStyleLight16"/>
  <colors>
    <mruColors>
      <color rgb="FF66FF6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724666</xdr:colOff>
      <xdr:row>5</xdr:row>
      <xdr:rowOff>165100</xdr:rowOff>
    </xdr:from>
    <xdr:to>
      <xdr:col>13</xdr:col>
      <xdr:colOff>429941</xdr:colOff>
      <xdr:row>51</xdr:row>
      <xdr:rowOff>25400</xdr:rowOff>
    </xdr:to>
    <xdr:pic>
      <xdr:nvPicPr>
        <xdr:cNvPr id="2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357366" y="1117600"/>
          <a:ext cx="7083975" cy="824230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457200</xdr:colOff>
      <xdr:row>5</xdr:row>
      <xdr:rowOff>165100</xdr:rowOff>
    </xdr:from>
    <xdr:to>
      <xdr:col>18</xdr:col>
      <xdr:colOff>441325</xdr:colOff>
      <xdr:row>20</xdr:row>
      <xdr:rowOff>98425</xdr:rowOff>
    </xdr:to>
    <xdr:pic>
      <xdr:nvPicPr>
        <xdr:cNvPr id="1028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468600" y="1117600"/>
          <a:ext cx="3794125" cy="2790825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AK37"/>
  <sheetViews>
    <sheetView zoomScale="75" zoomScaleNormal="75" workbookViewId="0">
      <selection activeCell="E5" sqref="E5"/>
    </sheetView>
  </sheetViews>
  <sheetFormatPr baseColWidth="10" defaultRowHeight="12.75"/>
  <cols>
    <col min="1" max="1" width="49.85546875" customWidth="1"/>
    <col min="2" max="2" width="16.140625" customWidth="1"/>
    <col min="4" max="4" width="24.7109375" customWidth="1"/>
    <col min="5" max="5" width="12.140625" bestFit="1" customWidth="1"/>
    <col min="7" max="7" width="19.85546875" style="31" customWidth="1"/>
    <col min="8" max="9" width="11.42578125" style="31"/>
    <col min="10" max="10" width="13.5703125" style="31" customWidth="1"/>
    <col min="11" max="11" width="20.140625" style="31" customWidth="1"/>
    <col min="12" max="27" width="11.42578125" style="31"/>
    <col min="28" max="28" width="20.28515625" style="31" customWidth="1"/>
    <col min="29" max="29" width="11.42578125" style="31"/>
    <col min="30" max="30" width="19.42578125" style="31" customWidth="1"/>
    <col min="31" max="36" width="11.42578125" style="31"/>
  </cols>
  <sheetData>
    <row r="1" spans="1:34" ht="15">
      <c r="A1" s="16" t="s">
        <v>29</v>
      </c>
      <c r="B1" s="7">
        <f>273.15+235</f>
        <v>508.15</v>
      </c>
      <c r="C1" s="1"/>
      <c r="D1" s="2"/>
      <c r="E1" s="2"/>
      <c r="F1" s="1"/>
      <c r="G1" s="38" t="s">
        <v>56</v>
      </c>
      <c r="H1" s="2"/>
      <c r="I1" s="2"/>
      <c r="J1" s="2"/>
      <c r="K1" s="6"/>
      <c r="L1" s="11"/>
      <c r="M1" s="40">
        <f>B13/((B14*B11)*B20)</f>
        <v>671.7096560846561</v>
      </c>
      <c r="N1" s="30"/>
      <c r="O1" s="30"/>
      <c r="P1" s="2"/>
      <c r="Q1" s="72"/>
      <c r="R1" s="73"/>
      <c r="S1" s="2"/>
      <c r="T1" s="2"/>
      <c r="U1" s="67"/>
      <c r="V1" s="67"/>
      <c r="W1" s="67"/>
      <c r="X1" s="2"/>
      <c r="Y1" s="67"/>
      <c r="Z1" s="67"/>
      <c r="AA1" s="2"/>
      <c r="AB1" s="2"/>
      <c r="AC1" s="2"/>
      <c r="AD1" s="2"/>
      <c r="AE1" s="2"/>
      <c r="AF1" s="2"/>
      <c r="AG1" s="67"/>
      <c r="AH1" s="67"/>
    </row>
    <row r="2" spans="1:34" ht="15">
      <c r="A2" s="46" t="s">
        <v>30</v>
      </c>
      <c r="B2" s="47">
        <v>20</v>
      </c>
      <c r="C2" s="1"/>
      <c r="D2" s="36"/>
      <c r="E2" s="2"/>
      <c r="F2" s="1"/>
      <c r="G2" s="2"/>
      <c r="H2" s="2"/>
      <c r="I2" s="2"/>
      <c r="J2" s="2"/>
      <c r="K2" s="6"/>
      <c r="L2" s="11"/>
      <c r="M2" s="2"/>
      <c r="N2" s="33"/>
      <c r="O2" s="2"/>
      <c r="P2" s="2"/>
      <c r="Q2" s="2"/>
      <c r="R2" s="12"/>
      <c r="S2" s="2"/>
      <c r="T2" s="2"/>
      <c r="U2" s="30"/>
      <c r="V2" s="30"/>
      <c r="W2" s="30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</row>
    <row r="3" spans="1:34" ht="15">
      <c r="A3" s="46" t="s">
        <v>28</v>
      </c>
      <c r="B3" s="48">
        <v>7.0000000000000007E-2</v>
      </c>
      <c r="C3" s="1"/>
      <c r="D3" s="2"/>
      <c r="E3" s="34"/>
      <c r="F3" s="1"/>
      <c r="G3" s="60" t="s">
        <v>63</v>
      </c>
      <c r="H3" s="61"/>
      <c r="I3" s="61"/>
      <c r="J3" s="61"/>
      <c r="K3" s="6"/>
      <c r="L3" s="11"/>
      <c r="M3" s="2"/>
      <c r="N3" s="33"/>
      <c r="O3" s="2"/>
      <c r="P3" s="2"/>
      <c r="Q3" s="2"/>
      <c r="R3" s="12"/>
      <c r="S3" s="2"/>
      <c r="T3" s="2"/>
      <c r="U3" s="2"/>
      <c r="V3" s="34"/>
      <c r="W3" s="34"/>
      <c r="X3" s="2"/>
      <c r="Y3" s="9"/>
      <c r="Z3" s="10"/>
      <c r="AA3" s="2"/>
      <c r="AB3" s="2"/>
      <c r="AC3" s="2"/>
      <c r="AD3" s="2"/>
      <c r="AE3" s="2"/>
      <c r="AF3" s="2"/>
      <c r="AG3" s="9"/>
      <c r="AH3" s="10"/>
    </row>
    <row r="4" spans="1:34" ht="15">
      <c r="A4" s="22" t="s">
        <v>2</v>
      </c>
      <c r="B4" s="23">
        <v>5.0000000000000001E-3</v>
      </c>
      <c r="C4" s="1"/>
      <c r="D4" s="2"/>
      <c r="E4" s="3"/>
      <c r="F4" s="1"/>
      <c r="G4" s="62" t="s">
        <v>62</v>
      </c>
      <c r="H4" s="63"/>
      <c r="I4" s="63"/>
      <c r="J4" s="63"/>
      <c r="K4" s="6"/>
      <c r="L4" s="11"/>
      <c r="M4" s="2"/>
      <c r="N4" s="2"/>
      <c r="O4" s="2"/>
      <c r="P4" s="2"/>
      <c r="Q4" s="2"/>
      <c r="R4" s="12"/>
      <c r="S4" s="2"/>
      <c r="T4" s="2"/>
      <c r="U4" s="2"/>
      <c r="V4" s="34"/>
      <c r="W4" s="34"/>
      <c r="X4" s="2"/>
      <c r="Y4" s="9"/>
      <c r="Z4" s="10"/>
      <c r="AA4" s="2"/>
      <c r="AB4" s="2"/>
      <c r="AC4" s="2"/>
      <c r="AD4" s="2"/>
      <c r="AE4" s="2"/>
      <c r="AF4" s="2"/>
      <c r="AG4" s="9"/>
      <c r="AH4" s="10"/>
    </row>
    <row r="5" spans="1:34" ht="15">
      <c r="A5" s="24" t="s">
        <v>27</v>
      </c>
      <c r="B5" s="23">
        <v>6.0000000000000005E-2</v>
      </c>
      <c r="C5" s="1"/>
      <c r="D5" s="2"/>
      <c r="E5" s="3"/>
      <c r="F5" s="1"/>
      <c r="G5" s="64" t="s">
        <v>64</v>
      </c>
      <c r="H5" s="65"/>
      <c r="I5" s="65"/>
      <c r="J5" s="65"/>
      <c r="K5" s="6"/>
      <c r="L5" s="11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9"/>
      <c r="Z5" s="10"/>
      <c r="AA5" s="2"/>
      <c r="AB5" s="2"/>
      <c r="AC5" s="2"/>
      <c r="AD5" s="2"/>
      <c r="AE5" s="2"/>
      <c r="AF5" s="2"/>
      <c r="AG5" s="9"/>
      <c r="AH5" s="10"/>
    </row>
    <row r="6" spans="1:34" ht="15">
      <c r="A6" s="24" t="s">
        <v>26</v>
      </c>
      <c r="B6" s="23">
        <v>0.11899999999999999</v>
      </c>
      <c r="C6" s="1"/>
      <c r="D6" s="1"/>
      <c r="E6" s="1"/>
      <c r="F6" s="1"/>
      <c r="G6" s="2"/>
      <c r="H6" s="2"/>
      <c r="I6" s="2"/>
      <c r="J6" s="2"/>
      <c r="K6" s="6"/>
      <c r="L6" s="32"/>
      <c r="M6" s="33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9"/>
      <c r="Z6" s="10"/>
      <c r="AA6" s="2"/>
      <c r="AB6" s="2"/>
      <c r="AC6" s="2"/>
      <c r="AD6" s="2"/>
      <c r="AE6" s="2"/>
      <c r="AF6" s="2"/>
      <c r="AG6" s="9"/>
      <c r="AH6" s="10"/>
    </row>
    <row r="7" spans="1:34" ht="15">
      <c r="A7" s="24" t="s">
        <v>25</v>
      </c>
      <c r="B7" s="23">
        <v>0.125</v>
      </c>
      <c r="C7" s="1"/>
      <c r="D7" s="68" t="s">
        <v>42</v>
      </c>
      <c r="E7" s="69"/>
      <c r="F7" s="1"/>
      <c r="G7" s="2"/>
      <c r="H7" s="2"/>
      <c r="I7" s="2"/>
      <c r="J7" s="2"/>
      <c r="K7" s="6"/>
      <c r="L7" s="32"/>
      <c r="M7" s="33"/>
      <c r="N7" s="2"/>
      <c r="O7" s="32"/>
      <c r="P7" s="2"/>
      <c r="Q7" s="2"/>
      <c r="R7" s="2"/>
      <c r="S7" s="2"/>
      <c r="T7" s="2"/>
      <c r="U7" s="2"/>
      <c r="V7" s="2"/>
      <c r="W7" s="2"/>
      <c r="X7" s="2"/>
      <c r="Y7" s="9"/>
      <c r="Z7" s="10"/>
      <c r="AA7" s="2"/>
      <c r="AB7" s="2"/>
      <c r="AC7" s="2"/>
      <c r="AD7" s="2"/>
      <c r="AE7" s="2"/>
      <c r="AF7" s="2"/>
      <c r="AG7" s="9"/>
      <c r="AH7" s="10"/>
    </row>
    <row r="8" spans="1:34" ht="15">
      <c r="A8" s="24" t="s">
        <v>24</v>
      </c>
      <c r="B8" s="23">
        <v>303.14999999999998</v>
      </c>
      <c r="C8" s="1"/>
      <c r="D8" s="70"/>
      <c r="E8" s="71"/>
      <c r="F8" s="1"/>
      <c r="G8" s="2"/>
      <c r="H8" s="2"/>
      <c r="I8" s="2"/>
      <c r="J8" s="2"/>
      <c r="K8" s="6"/>
      <c r="L8" s="32"/>
      <c r="M8" s="35"/>
      <c r="N8" s="6"/>
      <c r="O8" s="32"/>
      <c r="P8" s="2"/>
      <c r="Q8" s="2"/>
      <c r="R8" s="2"/>
      <c r="S8" s="2"/>
      <c r="T8" s="2"/>
      <c r="U8" s="2"/>
      <c r="V8" s="2"/>
      <c r="W8" s="2"/>
      <c r="X8" s="2"/>
      <c r="Y8" s="9"/>
      <c r="Z8" s="10"/>
      <c r="AA8" s="2"/>
      <c r="AB8" s="2"/>
      <c r="AC8" s="2"/>
      <c r="AD8" s="2"/>
      <c r="AE8" s="2"/>
      <c r="AF8" s="2"/>
      <c r="AG8" s="9"/>
      <c r="AH8" s="10"/>
    </row>
    <row r="9" spans="1:34" ht="15">
      <c r="A9" s="24" t="s">
        <v>22</v>
      </c>
      <c r="B9" s="28">
        <v>2</v>
      </c>
      <c r="C9" s="1"/>
      <c r="D9" s="44" t="s">
        <v>1</v>
      </c>
      <c r="E9" s="51">
        <v>5.6217352682188206</v>
      </c>
      <c r="F9" s="1"/>
      <c r="G9" s="2"/>
      <c r="H9" s="2"/>
      <c r="I9" s="2"/>
      <c r="J9" s="2"/>
      <c r="K9" s="6"/>
      <c r="L9" s="32"/>
      <c r="M9" s="35"/>
      <c r="N9" s="2"/>
      <c r="O9" s="32"/>
      <c r="P9" s="2"/>
      <c r="Q9" s="6"/>
      <c r="R9" s="6"/>
      <c r="S9" s="2"/>
      <c r="T9" s="2"/>
      <c r="U9" s="2"/>
      <c r="V9" s="2"/>
      <c r="W9" s="2"/>
      <c r="X9" s="2"/>
      <c r="Y9" s="9"/>
      <c r="Z9" s="10"/>
      <c r="AA9" s="2"/>
      <c r="AB9" s="2"/>
      <c r="AC9" s="2"/>
      <c r="AD9" s="2"/>
      <c r="AE9" s="2"/>
      <c r="AF9" s="2"/>
      <c r="AG9" s="9"/>
      <c r="AH9" s="10"/>
    </row>
    <row r="10" spans="1:34" ht="15">
      <c r="A10" s="24" t="s">
        <v>23</v>
      </c>
      <c r="B10" s="28">
        <v>900</v>
      </c>
      <c r="C10" s="1"/>
      <c r="D10" s="44" t="s">
        <v>3</v>
      </c>
      <c r="E10" s="39">
        <v>671.7096560846561</v>
      </c>
      <c r="F10" s="1"/>
      <c r="G10" s="2"/>
      <c r="H10" s="2"/>
      <c r="I10" s="2"/>
      <c r="J10" s="2"/>
      <c r="K10" s="6"/>
      <c r="L10" s="32"/>
      <c r="M10" s="2"/>
      <c r="N10" s="2"/>
      <c r="O10" s="32"/>
      <c r="P10" s="2"/>
      <c r="Q10" s="6"/>
      <c r="R10" s="6"/>
      <c r="S10" s="2"/>
      <c r="T10" s="2"/>
      <c r="U10" s="2"/>
      <c r="V10" s="2"/>
      <c r="W10" s="2"/>
      <c r="X10" s="2"/>
      <c r="Y10" s="9"/>
      <c r="Z10" s="10"/>
      <c r="AA10" s="2"/>
      <c r="AB10" s="2"/>
      <c r="AC10" s="2"/>
      <c r="AD10" s="2"/>
      <c r="AE10" s="2"/>
      <c r="AF10" s="2"/>
      <c r="AG10" s="9"/>
      <c r="AH10" s="10"/>
    </row>
    <row r="11" spans="1:34" ht="15">
      <c r="A11" s="24" t="s">
        <v>21</v>
      </c>
      <c r="B11" s="23">
        <v>5.76</v>
      </c>
      <c r="C11" s="1"/>
      <c r="D11" s="49" t="s">
        <v>4</v>
      </c>
      <c r="E11" s="50">
        <v>67.170965608465607</v>
      </c>
      <c r="F11" s="1"/>
      <c r="N11" s="2"/>
      <c r="O11" s="32"/>
      <c r="P11" s="2"/>
      <c r="Q11" s="2"/>
      <c r="R11" s="2"/>
      <c r="S11" s="2"/>
      <c r="T11" s="2"/>
      <c r="U11" s="2"/>
      <c r="V11" s="2"/>
      <c r="W11" s="2"/>
      <c r="X11" s="2"/>
      <c r="Y11" s="9"/>
      <c r="Z11" s="10"/>
      <c r="AA11" s="2"/>
      <c r="AB11" s="2"/>
      <c r="AC11" s="2"/>
      <c r="AD11" s="2"/>
      <c r="AE11" s="2"/>
      <c r="AF11" s="2"/>
      <c r="AG11" s="9"/>
      <c r="AH11" s="10"/>
    </row>
    <row r="12" spans="1:34" ht="15">
      <c r="A12" s="24" t="s">
        <v>31</v>
      </c>
      <c r="B12" s="23">
        <v>0.76</v>
      </c>
      <c r="C12" s="1"/>
      <c r="D12" s="44" t="s">
        <v>5</v>
      </c>
      <c r="E12" s="51">
        <v>13.608306050431707</v>
      </c>
      <c r="F12" s="1"/>
      <c r="N12" s="2"/>
      <c r="O12" s="32"/>
      <c r="P12" s="2"/>
      <c r="Q12" s="2"/>
      <c r="R12" s="2"/>
      <c r="S12" s="2"/>
      <c r="T12" s="2"/>
      <c r="U12" s="2"/>
      <c r="V12" s="2"/>
      <c r="W12" s="2"/>
      <c r="X12" s="2"/>
      <c r="Y12" s="9"/>
      <c r="Z12" s="10"/>
      <c r="AA12" s="2"/>
      <c r="AB12" s="2"/>
      <c r="AC12" s="2"/>
      <c r="AD12" s="2"/>
      <c r="AE12" s="2"/>
      <c r="AF12" s="2"/>
      <c r="AG12" s="9"/>
      <c r="AH12" s="10"/>
    </row>
    <row r="13" spans="1:34" ht="15">
      <c r="A13" s="41" t="s">
        <v>57</v>
      </c>
      <c r="B13" s="42">
        <v>325000</v>
      </c>
      <c r="C13" s="1"/>
      <c r="D13" s="58" t="s">
        <v>6</v>
      </c>
      <c r="E13" s="59">
        <v>850.04246974797672</v>
      </c>
      <c r="F13" s="1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9"/>
      <c r="Z13" s="10"/>
      <c r="AA13" s="2"/>
      <c r="AB13" s="2"/>
      <c r="AC13" s="2"/>
      <c r="AD13" s="2"/>
      <c r="AE13" s="2"/>
      <c r="AF13" s="2"/>
      <c r="AG13" s="9"/>
      <c r="AH13" s="10"/>
    </row>
    <row r="14" spans="1:34" ht="15">
      <c r="A14" s="43" t="s">
        <v>32</v>
      </c>
      <c r="B14" s="42">
        <v>21</v>
      </c>
      <c r="C14" s="1"/>
      <c r="D14" s="44" t="s">
        <v>7</v>
      </c>
      <c r="E14" s="51">
        <v>17.682839993304086</v>
      </c>
      <c r="F14" s="1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9"/>
      <c r="Z14" s="10"/>
      <c r="AA14" s="2"/>
      <c r="AB14" s="2"/>
      <c r="AC14" s="2"/>
      <c r="AD14" s="2"/>
      <c r="AE14" s="2"/>
      <c r="AF14" s="2"/>
      <c r="AG14" s="9"/>
      <c r="AH14" s="10"/>
    </row>
    <row r="15" spans="1:34" ht="15">
      <c r="A15" s="29" t="s">
        <v>58</v>
      </c>
      <c r="B15" s="23">
        <v>0.86</v>
      </c>
      <c r="C15" s="1"/>
      <c r="D15" s="52" t="s">
        <v>8</v>
      </c>
      <c r="E15" s="51">
        <v>0.79207094562804947</v>
      </c>
      <c r="F15" s="4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9"/>
      <c r="Z15" s="10"/>
      <c r="AA15" s="2"/>
      <c r="AB15" s="2"/>
      <c r="AC15" s="2"/>
      <c r="AD15" s="2"/>
      <c r="AE15" s="2"/>
      <c r="AF15" s="2"/>
      <c r="AG15" s="9"/>
      <c r="AH15" s="10"/>
    </row>
    <row r="16" spans="1:34" ht="15">
      <c r="A16" s="29" t="s">
        <v>60</v>
      </c>
      <c r="B16" s="23">
        <v>0.02</v>
      </c>
      <c r="C16" s="1"/>
      <c r="D16" s="52" t="s">
        <v>9</v>
      </c>
      <c r="E16" s="51">
        <v>823.25418651136147</v>
      </c>
      <c r="F16" s="1"/>
      <c r="G16" s="36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9"/>
      <c r="Z16" s="10"/>
      <c r="AA16" s="2"/>
      <c r="AB16" s="2"/>
      <c r="AC16" s="2"/>
      <c r="AD16" s="2"/>
      <c r="AE16" s="2"/>
      <c r="AF16" s="2"/>
      <c r="AG16" s="9"/>
      <c r="AH16" s="10"/>
    </row>
    <row r="17" spans="1:37" ht="15">
      <c r="A17" s="29" t="s">
        <v>61</v>
      </c>
      <c r="B17" s="23">
        <v>0.95499999999999996</v>
      </c>
      <c r="C17" s="1"/>
      <c r="D17" s="44" t="s">
        <v>10</v>
      </c>
      <c r="E17" s="51">
        <v>550.10418651136149</v>
      </c>
      <c r="F17" s="1"/>
      <c r="G17" s="2"/>
      <c r="H17" s="2"/>
      <c r="I17" s="2"/>
      <c r="J17" s="2"/>
      <c r="K17" s="12"/>
      <c r="L17" s="3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9"/>
      <c r="Z17" s="10"/>
      <c r="AA17" s="2"/>
      <c r="AB17" s="2"/>
      <c r="AC17" s="32"/>
      <c r="AD17" s="2"/>
      <c r="AE17" s="2"/>
      <c r="AF17" s="2"/>
      <c r="AG17" s="9"/>
      <c r="AH17" s="10"/>
      <c r="AI17" s="2"/>
      <c r="AJ17" s="2"/>
      <c r="AK17" s="1"/>
    </row>
    <row r="18" spans="1:37" ht="15">
      <c r="A18" s="29" t="s">
        <v>59</v>
      </c>
      <c r="B18" s="23">
        <v>0.96499999999999997</v>
      </c>
      <c r="C18" s="1"/>
      <c r="D18" s="1"/>
      <c r="E18" s="4"/>
      <c r="F18" s="1"/>
      <c r="G18" s="2"/>
      <c r="H18" s="2"/>
      <c r="I18" s="2"/>
      <c r="J18" s="2"/>
      <c r="K18" s="12"/>
      <c r="L18" s="11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9"/>
      <c r="Z18" s="10"/>
      <c r="AA18" s="2"/>
      <c r="AB18" s="2"/>
      <c r="AC18" s="32"/>
      <c r="AD18" s="2"/>
      <c r="AE18" s="2"/>
      <c r="AF18" s="2"/>
      <c r="AG18" s="2"/>
      <c r="AH18" s="2"/>
      <c r="AI18" s="2"/>
      <c r="AJ18" s="2"/>
      <c r="AK18" s="1"/>
    </row>
    <row r="19" spans="1:37" ht="15">
      <c r="A19" s="24" t="s">
        <v>33</v>
      </c>
      <c r="B19" s="25">
        <v>10</v>
      </c>
      <c r="C19" s="1"/>
      <c r="D19" s="44" t="s">
        <v>11</v>
      </c>
      <c r="E19" s="51">
        <v>289.67316642839904</v>
      </c>
      <c r="F19" s="1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9"/>
      <c r="Z19" s="10"/>
      <c r="AA19" s="2"/>
      <c r="AB19" s="2"/>
      <c r="AC19" s="32"/>
      <c r="AD19" s="2"/>
      <c r="AE19" s="2"/>
      <c r="AF19" s="2"/>
      <c r="AG19" s="2"/>
      <c r="AH19" s="2"/>
      <c r="AI19" s="2"/>
      <c r="AJ19" s="2"/>
      <c r="AK19" s="8"/>
    </row>
    <row r="20" spans="1:37" ht="15">
      <c r="A20" s="24" t="s">
        <v>43</v>
      </c>
      <c r="B20" s="23">
        <v>4</v>
      </c>
      <c r="C20" s="1"/>
      <c r="D20" s="44" t="s">
        <v>12</v>
      </c>
      <c r="E20" s="51">
        <v>12374.606653903482</v>
      </c>
      <c r="F20" s="1"/>
      <c r="G20" s="2"/>
      <c r="H20" s="2"/>
      <c r="I20" s="2"/>
      <c r="J20" s="2"/>
      <c r="K20" s="2"/>
      <c r="L20" s="32"/>
      <c r="M20" s="3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9"/>
      <c r="Z20" s="10"/>
      <c r="AA20" s="2"/>
      <c r="AB20" s="2"/>
      <c r="AC20" s="32"/>
      <c r="AD20" s="2"/>
      <c r="AE20" s="32"/>
      <c r="AF20" s="2"/>
      <c r="AG20" s="2"/>
      <c r="AH20" s="2"/>
      <c r="AI20" s="2"/>
      <c r="AJ20" s="2"/>
      <c r="AK20" s="1"/>
    </row>
    <row r="21" spans="1:37" ht="15">
      <c r="A21" s="24" t="s">
        <v>34</v>
      </c>
      <c r="B21" s="26">
        <v>4.57E-5</v>
      </c>
      <c r="C21" s="1"/>
      <c r="D21" s="1"/>
      <c r="E21" s="4"/>
      <c r="F21" s="1"/>
      <c r="G21" s="2"/>
      <c r="H21" s="2"/>
      <c r="I21" s="2"/>
      <c r="J21" s="2"/>
      <c r="K21" s="2"/>
      <c r="L21" s="32"/>
      <c r="M21" s="3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9"/>
      <c r="Z21" s="10"/>
      <c r="AA21" s="2"/>
      <c r="AB21" s="2"/>
      <c r="AC21" s="2"/>
      <c r="AD21" s="2"/>
      <c r="AE21" s="32"/>
      <c r="AF21" s="2"/>
      <c r="AG21" s="2"/>
      <c r="AH21" s="2"/>
      <c r="AI21" s="2"/>
      <c r="AJ21" s="2"/>
      <c r="AK21" s="1"/>
    </row>
    <row r="22" spans="1:37" ht="15">
      <c r="A22" s="24" t="s">
        <v>35</v>
      </c>
      <c r="B22" s="27" t="s">
        <v>0</v>
      </c>
      <c r="C22" s="1"/>
      <c r="D22" s="56" t="s">
        <v>13</v>
      </c>
      <c r="E22" s="57">
        <v>59834.952538203179</v>
      </c>
      <c r="F22" s="1"/>
      <c r="G22" s="2"/>
      <c r="H22" s="2"/>
      <c r="I22" s="2"/>
      <c r="J22" s="2"/>
      <c r="K22" s="2"/>
      <c r="L22" s="3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9"/>
      <c r="Z22" s="10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1"/>
    </row>
    <row r="23" spans="1:37" ht="15">
      <c r="A23" s="24" t="s">
        <v>36</v>
      </c>
      <c r="B23" s="28">
        <v>2</v>
      </c>
      <c r="C23" s="1"/>
      <c r="D23" s="56" t="s">
        <v>14</v>
      </c>
      <c r="E23" s="57">
        <v>59.834952538203176</v>
      </c>
      <c r="F23" s="1"/>
      <c r="G23" s="2"/>
      <c r="H23" s="2"/>
      <c r="I23" s="2"/>
      <c r="J23" s="2"/>
      <c r="K23" s="2"/>
      <c r="L23" s="3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9"/>
      <c r="Z23" s="10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1"/>
    </row>
    <row r="24" spans="1:37" ht="15">
      <c r="A24" s="1"/>
      <c r="B24" s="1"/>
      <c r="C24" s="1"/>
      <c r="D24" s="1"/>
      <c r="E24" s="4"/>
      <c r="F24" s="1"/>
      <c r="G24" s="2"/>
      <c r="H24" s="2"/>
      <c r="I24" s="2"/>
      <c r="J24" s="2"/>
      <c r="K24" s="2"/>
      <c r="L24" s="3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9"/>
      <c r="Z24" s="10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1"/>
    </row>
    <row r="25" spans="1:37" ht="15">
      <c r="A25" s="1"/>
      <c r="B25" s="1"/>
      <c r="C25" s="1"/>
      <c r="D25" s="1"/>
      <c r="E25" s="4"/>
      <c r="F25" s="1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1"/>
    </row>
    <row r="26" spans="1:37" ht="15">
      <c r="A26" s="66" t="s">
        <v>37</v>
      </c>
      <c r="B26" s="66"/>
      <c r="C26" s="1"/>
      <c r="D26" s="1"/>
      <c r="E26" s="1"/>
      <c r="F26" s="1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1"/>
    </row>
    <row r="27" spans="1:37" ht="15">
      <c r="A27" s="43" t="s">
        <v>38</v>
      </c>
      <c r="B27" s="45">
        <f>273.15+235</f>
        <v>508.15</v>
      </c>
      <c r="C27" s="1"/>
      <c r="D27" s="53" t="s">
        <v>44</v>
      </c>
      <c r="E27" s="51">
        <v>397.93064034321043</v>
      </c>
      <c r="F27" s="1"/>
      <c r="G27" s="13"/>
      <c r="H27" s="14"/>
      <c r="I27" s="14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1"/>
    </row>
    <row r="28" spans="1:37" ht="15">
      <c r="A28" s="43" t="s">
        <v>39</v>
      </c>
      <c r="B28" s="45">
        <v>20</v>
      </c>
      <c r="C28" s="1"/>
      <c r="D28" s="53" t="s">
        <v>15</v>
      </c>
      <c r="E28" s="51">
        <v>400.03492112180732</v>
      </c>
      <c r="F28" s="4"/>
      <c r="G28" s="15"/>
      <c r="H28" s="14"/>
      <c r="I28" s="14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1"/>
    </row>
    <row r="29" spans="1:37" ht="15">
      <c r="A29" s="16" t="s">
        <v>40</v>
      </c>
      <c r="B29" s="5">
        <v>812.12185727475105</v>
      </c>
      <c r="C29" s="4"/>
      <c r="D29" s="53" t="s">
        <v>16</v>
      </c>
      <c r="E29" s="51">
        <v>823.18492112180729</v>
      </c>
      <c r="F29" s="1"/>
      <c r="G29" s="12"/>
      <c r="H29" s="3"/>
      <c r="I29" s="3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1"/>
    </row>
    <row r="30" spans="1:37" ht="15">
      <c r="A30" s="16" t="s">
        <v>41</v>
      </c>
      <c r="B30" s="5">
        <v>19.186753915278572</v>
      </c>
      <c r="C30" s="4"/>
      <c r="D30" s="54" t="s">
        <v>17</v>
      </c>
      <c r="E30" s="55">
        <v>9.2079290543719505</v>
      </c>
      <c r="F30" s="1"/>
      <c r="G30" s="12"/>
      <c r="H30" s="3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1"/>
    </row>
    <row r="31" spans="1:37" ht="15">
      <c r="A31" s="1"/>
      <c r="B31" s="4"/>
      <c r="C31" s="1"/>
      <c r="D31" s="53" t="s">
        <v>45</v>
      </c>
      <c r="E31" s="51">
        <v>0.7504186556006136</v>
      </c>
      <c r="F31" s="1"/>
      <c r="G31" s="2"/>
      <c r="H31" s="3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1"/>
    </row>
    <row r="32" spans="1:37" ht="15">
      <c r="A32" s="1"/>
      <c r="B32" s="4"/>
      <c r="C32" s="1"/>
      <c r="D32" s="53" t="s">
        <v>18</v>
      </c>
      <c r="E32" s="51">
        <v>0.79207094562804947</v>
      </c>
      <c r="F32" s="1"/>
      <c r="G32" s="2"/>
      <c r="H32" s="3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1"/>
    </row>
    <row r="33" spans="1:8" ht="15">
      <c r="A33" s="1"/>
      <c r="B33" s="1"/>
      <c r="C33" s="1"/>
      <c r="D33" s="53" t="s">
        <v>19</v>
      </c>
      <c r="E33" s="51">
        <v>-7.6136236658135584E-2</v>
      </c>
      <c r="F33" s="1"/>
      <c r="G33" s="37"/>
      <c r="H33" s="3"/>
    </row>
    <row r="34" spans="1:8" ht="15">
      <c r="A34" s="1"/>
      <c r="B34" s="1"/>
      <c r="C34" s="1"/>
      <c r="D34" s="53" t="s">
        <v>20</v>
      </c>
      <c r="E34" s="51">
        <v>1.5534333122094053</v>
      </c>
      <c r="F34" s="1"/>
      <c r="G34" s="37"/>
      <c r="H34" s="2"/>
    </row>
    <row r="36" spans="1:8" ht="15">
      <c r="A36" s="1"/>
      <c r="B36" s="1"/>
      <c r="C36" s="1"/>
      <c r="D36" s="1"/>
      <c r="E36" s="4"/>
      <c r="F36" s="4"/>
    </row>
    <row r="37" spans="1:8" ht="15">
      <c r="A37" s="1"/>
      <c r="B37" s="1"/>
      <c r="C37" s="1"/>
      <c r="D37" s="1"/>
      <c r="E37" s="4"/>
      <c r="F37" s="4"/>
    </row>
  </sheetData>
  <mergeCells count="6">
    <mergeCell ref="A26:B26"/>
    <mergeCell ref="AG1:AH1"/>
    <mergeCell ref="Y1:Z1"/>
    <mergeCell ref="D7:E8"/>
    <mergeCell ref="Q1:R1"/>
    <mergeCell ref="U1:W1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1:R22"/>
  <sheetViews>
    <sheetView tabSelected="1" zoomScale="75" zoomScaleNormal="75" workbookViewId="0">
      <selection activeCell="D15" sqref="D15"/>
    </sheetView>
  </sheetViews>
  <sheetFormatPr baseColWidth="10" defaultRowHeight="12.75"/>
  <cols>
    <col min="6" max="6" width="11.85546875" customWidth="1"/>
    <col min="7" max="7" width="10.28515625" customWidth="1"/>
    <col min="8" max="8" width="11.85546875" customWidth="1"/>
    <col min="10" max="10" width="15.140625" customWidth="1"/>
    <col min="11" max="11" width="12.85546875" customWidth="1"/>
    <col min="18" max="18" width="24" customWidth="1"/>
  </cols>
  <sheetData>
    <row r="1" spans="1:18">
      <c r="A1" s="17" t="s">
        <v>46</v>
      </c>
      <c r="B1" s="17" t="s">
        <v>47</v>
      </c>
      <c r="C1" s="17" t="s">
        <v>48</v>
      </c>
      <c r="D1" s="17" t="s">
        <v>49</v>
      </c>
      <c r="E1" s="17" t="s">
        <v>50</v>
      </c>
      <c r="F1" s="17" t="s">
        <v>65</v>
      </c>
      <c r="G1" s="17" t="s">
        <v>66</v>
      </c>
      <c r="H1" s="17" t="s">
        <v>67</v>
      </c>
      <c r="I1" s="17" t="s">
        <v>68</v>
      </c>
      <c r="J1" s="17" t="s">
        <v>69</v>
      </c>
      <c r="K1" s="17" t="s">
        <v>70</v>
      </c>
      <c r="L1" s="17" t="s">
        <v>71</v>
      </c>
      <c r="M1" s="17" t="s">
        <v>72</v>
      </c>
      <c r="N1" s="17" t="s">
        <v>73</v>
      </c>
    </row>
    <row r="2" spans="1:18" ht="13.5" thickBot="1">
      <c r="A2" s="18"/>
      <c r="B2" s="19" t="s">
        <v>52</v>
      </c>
      <c r="C2" s="19" t="s">
        <v>52</v>
      </c>
      <c r="D2" s="19" t="s">
        <v>52</v>
      </c>
      <c r="E2" s="19" t="s">
        <v>52</v>
      </c>
      <c r="F2" s="19" t="s">
        <v>52</v>
      </c>
      <c r="G2" s="19" t="s">
        <v>52</v>
      </c>
      <c r="H2" s="19" t="s">
        <v>52</v>
      </c>
      <c r="I2" s="19" t="s">
        <v>55</v>
      </c>
      <c r="J2" s="19" t="s">
        <v>53</v>
      </c>
      <c r="K2" s="19" t="s">
        <v>54</v>
      </c>
      <c r="L2" s="19" t="s">
        <v>51</v>
      </c>
      <c r="M2" s="19" t="s">
        <v>51</v>
      </c>
      <c r="N2" s="19" t="s">
        <v>51</v>
      </c>
      <c r="Q2">
        <v>0.90335538917729463</v>
      </c>
      <c r="R2" t="s">
        <v>74</v>
      </c>
    </row>
    <row r="3" spans="1:18">
      <c r="A3" s="20">
        <v>1</v>
      </c>
      <c r="B3" s="20">
        <v>532.50689432484103</v>
      </c>
      <c r="C3" s="20">
        <v>537.60119892333171</v>
      </c>
      <c r="D3" s="20">
        <v>322.91498703122386</v>
      </c>
      <c r="E3" s="20">
        <v>322.4045231127493</v>
      </c>
      <c r="F3" s="20">
        <v>508.15</v>
      </c>
      <c r="G3" s="20">
        <v>525.81690674142442</v>
      </c>
      <c r="H3" s="20">
        <v>543.48381348284897</v>
      </c>
      <c r="I3" s="20">
        <v>76.675227617604321</v>
      </c>
      <c r="J3" s="20">
        <v>0.98053849201551224</v>
      </c>
      <c r="K3" s="20">
        <v>9.2307610192253922</v>
      </c>
      <c r="L3" s="20">
        <v>20</v>
      </c>
      <c r="M3" s="20">
        <v>19.833578700943551</v>
      </c>
      <c r="N3" s="20">
        <v>19.667157401887103</v>
      </c>
    </row>
    <row r="4" spans="1:18">
      <c r="A4" s="21">
        <v>2</v>
      </c>
      <c r="B4" s="21">
        <v>568.45035368585479</v>
      </c>
      <c r="C4" s="21">
        <v>573.38073290991019</v>
      </c>
      <c r="D4" s="21">
        <v>327.09058407931099</v>
      </c>
      <c r="E4" s="21">
        <v>326.36027338248556</v>
      </c>
      <c r="F4" s="21">
        <v>543.48381348284897</v>
      </c>
      <c r="G4" s="21">
        <v>561.71049011604623</v>
      </c>
      <c r="H4" s="21">
        <v>579.93716674924337</v>
      </c>
      <c r="I4" s="21">
        <v>107.29623270419667</v>
      </c>
      <c r="J4" s="21">
        <v>0.97276634769325732</v>
      </c>
      <c r="K4" s="21">
        <v>10.279790136894881</v>
      </c>
      <c r="L4" s="21">
        <v>19.667157401887103</v>
      </c>
      <c r="M4" s="21">
        <v>19.606926947269212</v>
      </c>
      <c r="N4" s="21">
        <v>19.546696492651321</v>
      </c>
      <c r="Q4">
        <v>379.62698132896867</v>
      </c>
      <c r="R4" t="s">
        <v>75</v>
      </c>
    </row>
    <row r="5" spans="1:18">
      <c r="A5" s="21">
        <v>3</v>
      </c>
      <c r="B5" s="21">
        <v>604.94263025432804</v>
      </c>
      <c r="C5" s="21">
        <v>609.70222000906313</v>
      </c>
      <c r="D5" s="21">
        <v>332.65686996239117</v>
      </c>
      <c r="E5" s="21">
        <v>331.62918742298706</v>
      </c>
      <c r="F5" s="21">
        <v>579.93716674924337</v>
      </c>
      <c r="G5" s="21">
        <v>598.23269179660645</v>
      </c>
      <c r="H5" s="21">
        <v>616.52821684396952</v>
      </c>
      <c r="I5" s="21">
        <v>148.23780522598733</v>
      </c>
      <c r="J5" s="21">
        <v>0.96237466363456703</v>
      </c>
      <c r="K5" s="21">
        <v>11.263935495682237</v>
      </c>
      <c r="L5" s="21">
        <v>19.546696492651321</v>
      </c>
      <c r="M5" s="21">
        <v>19.480542646290331</v>
      </c>
      <c r="N5" s="21">
        <v>19.414388799929341</v>
      </c>
    </row>
    <row r="6" spans="1:18">
      <c r="A6" s="21">
        <v>4</v>
      </c>
      <c r="B6" s="21">
        <v>641.32102607615127</v>
      </c>
      <c r="C6" s="21">
        <v>645.90309335124823</v>
      </c>
      <c r="D6" s="21">
        <v>339.82688851397069</v>
      </c>
      <c r="E6" s="21">
        <v>338.40870028885524</v>
      </c>
      <c r="F6" s="21">
        <v>616.52821684396952</v>
      </c>
      <c r="G6" s="21">
        <v>634.69342552348917</v>
      </c>
      <c r="H6" s="21">
        <v>652.85863420300893</v>
      </c>
      <c r="I6" s="21">
        <v>201.54711042548439</v>
      </c>
      <c r="J6" s="21">
        <v>0.94884383365175129</v>
      </c>
      <c r="K6" s="21">
        <v>12.23154237912331</v>
      </c>
      <c r="L6" s="21">
        <v>19.414388799929341</v>
      </c>
      <c r="M6" s="21">
        <v>19.342369049441153</v>
      </c>
      <c r="N6" s="21">
        <v>19.270349298952961</v>
      </c>
    </row>
    <row r="7" spans="1:18">
      <c r="A7" s="21">
        <v>5</v>
      </c>
      <c r="B7" s="21">
        <v>677.24090446007961</v>
      </c>
      <c r="C7" s="21">
        <v>681.63742583007843</v>
      </c>
      <c r="D7" s="21">
        <v>348.79333564488792</v>
      </c>
      <c r="E7" s="21">
        <v>346.87456262157053</v>
      </c>
      <c r="F7" s="21">
        <v>652.85863420300893</v>
      </c>
      <c r="G7" s="21">
        <v>670.73536080036388</v>
      </c>
      <c r="H7" s="21">
        <v>688.61208739771882</v>
      </c>
      <c r="I7" s="21">
        <v>269.46137340045647</v>
      </c>
      <c r="J7" s="21">
        <v>0.93160601105617069</v>
      </c>
      <c r="K7" s="21">
        <v>13.183600600385528</v>
      </c>
      <c r="L7" s="21">
        <v>19.270349298952961</v>
      </c>
      <c r="M7" s="21">
        <v>19.19252288565448</v>
      </c>
      <c r="N7" s="21">
        <v>19.114696472355998</v>
      </c>
    </row>
    <row r="8" spans="1:18">
      <c r="A8" s="21">
        <v>6</v>
      </c>
      <c r="B8" s="21">
        <v>712.41756257870304</v>
      </c>
      <c r="C8" s="21">
        <v>716.61920298725488</v>
      </c>
      <c r="D8" s="21">
        <v>359.67151834943843</v>
      </c>
      <c r="E8" s="21">
        <v>357.126372044535</v>
      </c>
      <c r="F8" s="21">
        <v>688.61208739771882</v>
      </c>
      <c r="G8" s="21">
        <v>706.06691546683487</v>
      </c>
      <c r="H8" s="21">
        <v>723.52174353595103</v>
      </c>
      <c r="I8" s="21">
        <v>354.05601207413633</v>
      </c>
      <c r="J8" s="21">
        <v>0.910134418637778</v>
      </c>
      <c r="K8" s="21">
        <v>14.120896222160992</v>
      </c>
      <c r="L8" s="21">
        <v>19.114696472355998</v>
      </c>
      <c r="M8" s="21">
        <v>19.031124464856493</v>
      </c>
      <c r="N8" s="21">
        <v>18.947552457356988</v>
      </c>
    </row>
    <row r="9" spans="1:18">
      <c r="A9" s="21">
        <v>7</v>
      </c>
      <c r="B9" s="21">
        <v>746.6025593415643</v>
      </c>
      <c r="C9" s="21">
        <v>750.59898937893104</v>
      </c>
      <c r="D9" s="21">
        <v>372.46729483420074</v>
      </c>
      <c r="E9" s="21">
        <v>369.15724450023913</v>
      </c>
      <c r="F9" s="21">
        <v>723.52174353595103</v>
      </c>
      <c r="G9" s="21">
        <v>740.43637881619031</v>
      </c>
      <c r="H9" s="21">
        <v>757.35101409642959</v>
      </c>
      <c r="I9" s="21">
        <v>457.01374544785989</v>
      </c>
      <c r="J9" s="21">
        <v>0.88400195301132534</v>
      </c>
      <c r="K9" s="21">
        <v>15.043770514434762</v>
      </c>
      <c r="L9" s="21">
        <v>18.947552457356988</v>
      </c>
      <c r="M9" s="21">
        <v>18.858299535785648</v>
      </c>
      <c r="N9" s="21">
        <v>18.769046614214304</v>
      </c>
    </row>
    <row r="10" spans="1:18">
      <c r="A10" s="21">
        <v>8</v>
      </c>
      <c r="B10" s="21">
        <v>779.57118136990471</v>
      </c>
      <c r="C10" s="21">
        <v>783.3516708603596</v>
      </c>
      <c r="D10" s="21">
        <v>387.05659916867432</v>
      </c>
      <c r="E10" s="21">
        <v>382.83520763065746</v>
      </c>
      <c r="F10" s="21">
        <v>757.35101409642959</v>
      </c>
      <c r="G10" s="21">
        <v>773.61771205892796</v>
      </c>
      <c r="H10" s="21">
        <v>789.88441002142622</v>
      </c>
      <c r="I10" s="21">
        <v>579.37586882320625</v>
      </c>
      <c r="J10" s="21">
        <v>0.85294431529625403</v>
      </c>
      <c r="K10" s="21">
        <v>15.952087078928431</v>
      </c>
      <c r="L10" s="21">
        <v>18.769046614214304</v>
      </c>
      <c r="M10" s="21">
        <v>18.674183282437276</v>
      </c>
      <c r="N10" s="21">
        <v>18.579319950660246</v>
      </c>
    </row>
    <row r="11" spans="1:18">
      <c r="A11" s="21">
        <v>9</v>
      </c>
      <c r="B11" s="21">
        <v>811.11813209124819</v>
      </c>
      <c r="C11" s="21">
        <v>814.67234447882538</v>
      </c>
      <c r="D11" s="21">
        <v>403.18422093718556</v>
      </c>
      <c r="E11" s="21">
        <v>397.90370284587271</v>
      </c>
      <c r="F11" s="21">
        <v>789.88441002142622</v>
      </c>
      <c r="G11" s="21">
        <v>805.40499458258967</v>
      </c>
      <c r="H11" s="21">
        <v>820.92557914375311</v>
      </c>
      <c r="I11" s="21">
        <v>721.31328601290988</v>
      </c>
      <c r="J11" s="21">
        <v>0.81691812712878953</v>
      </c>
      <c r="K11" s="21">
        <v>16.84532041762575</v>
      </c>
      <c r="L11" s="21">
        <v>18.579319950660246</v>
      </c>
      <c r="M11" s="21">
        <v>18.478924380586527</v>
      </c>
      <c r="N11" s="21">
        <v>18.378528810512812</v>
      </c>
    </row>
    <row r="12" spans="1:18">
      <c r="A12" s="21">
        <v>10</v>
      </c>
      <c r="B12" s="21">
        <v>840.94396393525381</v>
      </c>
      <c r="C12" s="21">
        <v>844.2637992513321</v>
      </c>
      <c r="D12" s="21">
        <v>420.41456155978449</v>
      </c>
      <c r="E12" s="21">
        <v>413.9385814097609</v>
      </c>
      <c r="F12" s="21">
        <v>820.92557914375311</v>
      </c>
      <c r="G12" s="21">
        <v>835.48402444586486</v>
      </c>
      <c r="H12" s="21">
        <v>850.04246974797672</v>
      </c>
      <c r="I12" s="21">
        <v>881.29315155784479</v>
      </c>
      <c r="J12" s="21">
        <v>0.77631245137928317</v>
      </c>
      <c r="K12" s="21">
        <v>17.93135663985581</v>
      </c>
      <c r="L12" s="21">
        <v>18.378528810512812</v>
      </c>
      <c r="M12" s="21">
        <v>18.030684401908449</v>
      </c>
      <c r="N12" s="21">
        <v>17.682839993304086</v>
      </c>
    </row>
    <row r="13" spans="1:18">
      <c r="A13" s="21">
        <v>0</v>
      </c>
      <c r="B13" s="21">
        <v>0</v>
      </c>
      <c r="C13" s="21">
        <v>0</v>
      </c>
      <c r="D13" s="21">
        <v>0</v>
      </c>
      <c r="E13" s="21">
        <v>0</v>
      </c>
      <c r="F13" s="21">
        <v>0</v>
      </c>
      <c r="G13" s="21">
        <v>0</v>
      </c>
      <c r="H13" s="21">
        <v>0</v>
      </c>
      <c r="I13" s="21">
        <v>0</v>
      </c>
      <c r="J13" s="21">
        <v>0</v>
      </c>
      <c r="K13" s="21">
        <v>0</v>
      </c>
      <c r="L13" s="21">
        <v>0</v>
      </c>
      <c r="M13" s="21">
        <v>0</v>
      </c>
      <c r="N13" s="21">
        <v>0</v>
      </c>
    </row>
    <row r="14" spans="1:18">
      <c r="A14" s="21">
        <v>0</v>
      </c>
      <c r="B14" s="21">
        <v>0</v>
      </c>
      <c r="C14" s="21">
        <v>0</v>
      </c>
      <c r="D14" s="21">
        <v>0</v>
      </c>
      <c r="E14" s="21">
        <v>0</v>
      </c>
      <c r="F14" s="21">
        <v>0</v>
      </c>
      <c r="G14" s="21">
        <v>0</v>
      </c>
      <c r="H14" s="21">
        <v>0</v>
      </c>
      <c r="I14" s="21">
        <v>0</v>
      </c>
      <c r="J14" s="21">
        <v>0</v>
      </c>
      <c r="K14" s="21">
        <v>0</v>
      </c>
      <c r="L14" s="21">
        <v>0</v>
      </c>
      <c r="M14" s="21">
        <v>0</v>
      </c>
      <c r="N14" s="21">
        <v>0</v>
      </c>
    </row>
    <row r="15" spans="1:18">
      <c r="A15" s="21">
        <v>0</v>
      </c>
      <c r="B15" s="21">
        <v>0</v>
      </c>
      <c r="C15" s="21">
        <v>0</v>
      </c>
      <c r="D15" s="21">
        <v>0</v>
      </c>
      <c r="E15" s="21">
        <v>0</v>
      </c>
      <c r="F15" s="21">
        <v>0</v>
      </c>
      <c r="G15" s="21">
        <v>0</v>
      </c>
      <c r="H15" s="21">
        <v>0</v>
      </c>
      <c r="I15" s="21">
        <v>0</v>
      </c>
      <c r="J15" s="21">
        <v>0</v>
      </c>
      <c r="K15" s="21">
        <v>0</v>
      </c>
      <c r="L15" s="21">
        <v>0</v>
      </c>
      <c r="M15" s="21">
        <v>0</v>
      </c>
      <c r="N15" s="21">
        <v>0</v>
      </c>
    </row>
    <row r="16" spans="1:18">
      <c r="A16" s="21">
        <v>0</v>
      </c>
      <c r="B16" s="21">
        <v>0</v>
      </c>
      <c r="C16" s="21">
        <v>0</v>
      </c>
      <c r="D16" s="21">
        <v>0</v>
      </c>
      <c r="E16" s="21">
        <v>0</v>
      </c>
      <c r="F16" s="21">
        <v>0</v>
      </c>
      <c r="G16" s="21">
        <v>0</v>
      </c>
      <c r="H16" s="21">
        <v>0</v>
      </c>
      <c r="I16" s="21">
        <v>0</v>
      </c>
      <c r="J16" s="21">
        <v>0</v>
      </c>
      <c r="K16" s="21">
        <v>0</v>
      </c>
      <c r="L16" s="21">
        <v>0</v>
      </c>
      <c r="M16" s="21">
        <v>0</v>
      </c>
      <c r="N16" s="21">
        <v>0</v>
      </c>
    </row>
    <row r="17" spans="1:14">
      <c r="A17" s="21">
        <v>0</v>
      </c>
      <c r="B17" s="21">
        <v>0</v>
      </c>
      <c r="C17" s="21">
        <v>0</v>
      </c>
      <c r="D17" s="21">
        <v>0</v>
      </c>
      <c r="E17" s="21">
        <v>0</v>
      </c>
      <c r="F17" s="21">
        <v>0</v>
      </c>
      <c r="G17" s="21">
        <v>0</v>
      </c>
      <c r="H17" s="21">
        <v>0</v>
      </c>
      <c r="I17" s="21">
        <v>0</v>
      </c>
      <c r="J17" s="21">
        <v>0</v>
      </c>
      <c r="K17" s="21">
        <v>0</v>
      </c>
      <c r="L17" s="21">
        <v>0</v>
      </c>
      <c r="M17" s="21">
        <v>0</v>
      </c>
      <c r="N17" s="21">
        <v>0</v>
      </c>
    </row>
    <row r="18" spans="1:14">
      <c r="A18" s="21">
        <v>0</v>
      </c>
      <c r="B18" s="21">
        <v>0</v>
      </c>
      <c r="C18" s="21">
        <v>0</v>
      </c>
      <c r="D18" s="21">
        <v>0</v>
      </c>
      <c r="E18" s="21">
        <v>0</v>
      </c>
      <c r="F18" s="21">
        <v>0</v>
      </c>
      <c r="G18" s="21">
        <v>0</v>
      </c>
      <c r="H18" s="21">
        <v>0</v>
      </c>
      <c r="I18" s="21">
        <v>0</v>
      </c>
      <c r="J18" s="21">
        <v>0</v>
      </c>
      <c r="K18" s="21">
        <v>0</v>
      </c>
      <c r="L18" s="21">
        <v>0</v>
      </c>
      <c r="M18" s="21">
        <v>0</v>
      </c>
      <c r="N18" s="21">
        <v>0</v>
      </c>
    </row>
    <row r="19" spans="1:14">
      <c r="A19" s="21">
        <v>0</v>
      </c>
      <c r="B19" s="21">
        <v>0</v>
      </c>
      <c r="C19" s="21">
        <v>0</v>
      </c>
      <c r="D19" s="21">
        <v>0</v>
      </c>
      <c r="E19" s="21">
        <v>0</v>
      </c>
      <c r="F19" s="21">
        <v>0</v>
      </c>
      <c r="G19" s="21">
        <v>0</v>
      </c>
      <c r="H19" s="21">
        <v>0</v>
      </c>
      <c r="I19" s="21">
        <v>0</v>
      </c>
      <c r="J19" s="21">
        <v>0</v>
      </c>
      <c r="K19" s="21">
        <v>0</v>
      </c>
      <c r="L19" s="21">
        <v>0</v>
      </c>
      <c r="M19" s="21">
        <v>0</v>
      </c>
      <c r="N19" s="21">
        <v>0</v>
      </c>
    </row>
    <row r="20" spans="1:14">
      <c r="A20" s="21">
        <v>0</v>
      </c>
      <c r="B20" s="21">
        <v>0</v>
      </c>
      <c r="C20" s="21">
        <v>0</v>
      </c>
      <c r="D20" s="21">
        <v>0</v>
      </c>
      <c r="E20" s="21">
        <v>0</v>
      </c>
      <c r="F20" s="21">
        <v>0</v>
      </c>
      <c r="G20" s="21">
        <v>0</v>
      </c>
      <c r="H20" s="21">
        <v>0</v>
      </c>
      <c r="I20" s="21">
        <v>0</v>
      </c>
      <c r="J20" s="21">
        <v>0</v>
      </c>
      <c r="K20" s="21">
        <v>0</v>
      </c>
      <c r="L20" s="21">
        <v>0</v>
      </c>
      <c r="M20" s="21">
        <v>0</v>
      </c>
      <c r="N20" s="21">
        <v>0</v>
      </c>
    </row>
    <row r="21" spans="1:14">
      <c r="A21" s="21">
        <v>0</v>
      </c>
      <c r="B21" s="21">
        <v>0</v>
      </c>
      <c r="C21" s="21">
        <v>0</v>
      </c>
      <c r="D21" s="21">
        <v>0</v>
      </c>
      <c r="E21" s="21">
        <v>0</v>
      </c>
      <c r="F21" s="21">
        <v>0</v>
      </c>
      <c r="G21" s="21">
        <v>0</v>
      </c>
      <c r="H21" s="21">
        <v>0</v>
      </c>
      <c r="I21" s="21">
        <v>0</v>
      </c>
      <c r="J21" s="21">
        <v>0</v>
      </c>
      <c r="K21" s="21">
        <v>0</v>
      </c>
      <c r="L21" s="21">
        <v>0</v>
      </c>
      <c r="M21" s="21">
        <v>0</v>
      </c>
      <c r="N21" s="21">
        <v>0</v>
      </c>
    </row>
    <row r="22" spans="1:14" ht="13.5" thickBot="1">
      <c r="A22" s="18">
        <v>0</v>
      </c>
      <c r="B22" s="18">
        <v>0</v>
      </c>
      <c r="C22" s="18">
        <v>0</v>
      </c>
      <c r="D22" s="18">
        <v>0</v>
      </c>
      <c r="E22" s="18">
        <v>0</v>
      </c>
      <c r="F22" s="18">
        <v>0</v>
      </c>
      <c r="G22" s="18">
        <v>0</v>
      </c>
      <c r="H22" s="18">
        <v>0</v>
      </c>
      <c r="I22" s="18">
        <v>0</v>
      </c>
      <c r="J22" s="18">
        <v>0</v>
      </c>
      <c r="K22" s="18">
        <v>0</v>
      </c>
      <c r="L22" s="18">
        <v>0</v>
      </c>
      <c r="M22" s="18">
        <v>0</v>
      </c>
      <c r="N22" s="18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A1"/>
  <sheetViews>
    <sheetView workbookViewId="0"/>
  </sheetViews>
  <sheetFormatPr baseColWidth="10" defaultRowHeight="12.7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INPUT</vt:lpstr>
      <vt:lpstr>OUTPUT</vt:lpstr>
      <vt:lpstr>Hoja3</vt:lpstr>
    </vt:vector>
  </TitlesOfParts>
  <Company>IBERDROLA S.A.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x003222</dc:creator>
  <cp:lastModifiedBy>kljh</cp:lastModifiedBy>
  <dcterms:created xsi:type="dcterms:W3CDTF">2013-11-07T08:27:18Z</dcterms:created>
  <dcterms:modified xsi:type="dcterms:W3CDTF">2016-05-27T19:06:01Z</dcterms:modified>
</cp:coreProperties>
</file>