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9980" windowHeight="7815"/>
  </bookViews>
  <sheets>
    <sheet name="Hoja1" sheetId="1" r:id="rId1"/>
    <sheet name="Hoja2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B6" i="1"/>
  <c r="B3"/>
  <c r="B2"/>
</calcChain>
</file>

<file path=xl/sharedStrings.xml><?xml version="1.0" encoding="utf-8"?>
<sst xmlns="http://schemas.openxmlformats.org/spreadsheetml/2006/main" count="88" uniqueCount="62">
  <si>
    <t>W_dot_net</t>
  </si>
  <si>
    <t>T_mc_in</t>
  </si>
  <si>
    <t>T_t_in</t>
  </si>
  <si>
    <t>P_rhx_in_guess</t>
  </si>
  <si>
    <t>fixed_P_rhx_in</t>
  </si>
  <si>
    <t>T_rht_in</t>
  </si>
  <si>
    <t>DP_LT</t>
  </si>
  <si>
    <t>DP_HT</t>
  </si>
  <si>
    <t>DP_PC</t>
  </si>
  <si>
    <t>DP_PHX</t>
  </si>
  <si>
    <t>DP_RHX</t>
  </si>
  <si>
    <t>UA_rec_total</t>
  </si>
  <si>
    <t>eta_mc</t>
  </si>
  <si>
    <t>eta_rc</t>
  </si>
  <si>
    <t>eta_t</t>
  </si>
  <si>
    <t>eta_trh</t>
  </si>
  <si>
    <t>N_sub_hxrs</t>
  </si>
  <si>
    <t>P_high_limit</t>
  </si>
  <si>
    <t>P_mc_out_guess</t>
  </si>
  <si>
    <t>fixed_P_mc_out</t>
  </si>
  <si>
    <t>PR_mc_guess</t>
  </si>
  <si>
    <t>fixed_PR_mc</t>
  </si>
  <si>
    <t>recomp_frac_guess</t>
  </si>
  <si>
    <t>fixed_recomp_frac</t>
  </si>
  <si>
    <t>LT_frac_guess</t>
  </si>
  <si>
    <t>fixed_LT_frac</t>
  </si>
  <si>
    <t>tol</t>
  </si>
  <si>
    <t>opt_tol</t>
  </si>
  <si>
    <t>kPa</t>
  </si>
  <si>
    <t>K</t>
  </si>
  <si>
    <t xml:space="preserve">K </t>
  </si>
  <si>
    <t>false</t>
  </si>
  <si>
    <t>kW/K</t>
  </si>
  <si>
    <t xml:space="preserve">kW </t>
  </si>
  <si>
    <t>efficiency</t>
  </si>
  <si>
    <t>m_dot_turbine2</t>
  </si>
  <si>
    <t>LT_mdoth2</t>
  </si>
  <si>
    <t>LT_mdotc2</t>
  </si>
  <si>
    <t>LT_Tcin2</t>
  </si>
  <si>
    <t>LT_Thin2</t>
  </si>
  <si>
    <t>LT_Pcin2</t>
  </si>
  <si>
    <t>LT_Phin2</t>
  </si>
  <si>
    <t>LT_Pcout2</t>
  </si>
  <si>
    <t>LT_Phout2</t>
  </si>
  <si>
    <t>LT_Q2</t>
  </si>
  <si>
    <t>HT_mdoth2</t>
  </si>
  <si>
    <t>HT_mdotc2</t>
  </si>
  <si>
    <t>HT_Tcin2</t>
  </si>
  <si>
    <t>HT_Thin2</t>
  </si>
  <si>
    <t>HT_Pcin2</t>
  </si>
  <si>
    <t>HT_Phin2</t>
  </si>
  <si>
    <t>HT_Pcout2</t>
  </si>
  <si>
    <t>HT_Phout2</t>
  </si>
  <si>
    <t>HT_Q2</t>
  </si>
  <si>
    <t>LT_UA2</t>
  </si>
  <si>
    <t>HT_UA2</t>
  </si>
  <si>
    <t>LT_Effc2</t>
  </si>
  <si>
    <t>HT_Effc2</t>
  </si>
  <si>
    <t>uds</t>
  </si>
  <si>
    <t>kg/s</t>
  </si>
  <si>
    <t>kW</t>
  </si>
  <si>
    <t>%</t>
  </si>
</sst>
</file>

<file path=xl/styles.xml><?xml version="1.0" encoding="utf-8"?>
<styleSheet xmlns="http://schemas.openxmlformats.org/spreadsheetml/2006/main">
  <numFmts count="1">
    <numFmt numFmtId="164" formatCode="0.0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164" fontId="0" fillId="0" borderId="0" xfId="0" applyNumberFormat="1" applyBorder="1" applyAlignment="1">
      <alignment horizontal="right"/>
    </xf>
    <xf numFmtId="0" fontId="0" fillId="0" borderId="2" xfId="0" applyBorder="1"/>
    <xf numFmtId="0" fontId="0" fillId="0" borderId="0" xfId="0" applyBorder="1" applyAlignment="1">
      <alignment horizontal="right"/>
    </xf>
    <xf numFmtId="2" fontId="0" fillId="0" borderId="0" xfId="0" applyNumberFormat="1" applyBorder="1" applyAlignment="1">
      <alignment horizontal="right"/>
    </xf>
    <xf numFmtId="0" fontId="0" fillId="0" borderId="3" xfId="0" applyBorder="1"/>
    <xf numFmtId="0" fontId="0" fillId="0" borderId="4" xfId="0" applyBorder="1" applyAlignment="1">
      <alignment horizontal="right"/>
    </xf>
    <xf numFmtId="0" fontId="0" fillId="0" borderId="5" xfId="0" applyBorder="1"/>
    <xf numFmtId="0" fontId="0" fillId="0" borderId="0" xfId="0" applyBorder="1"/>
    <xf numFmtId="0" fontId="0" fillId="0" borderId="4" xfId="0" applyBorder="1"/>
    <xf numFmtId="0" fontId="0" fillId="0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F28"/>
  <sheetViews>
    <sheetView tabSelected="1" zoomScale="80" zoomScaleNormal="80" workbookViewId="0">
      <selection activeCell="M6" sqref="M6"/>
    </sheetView>
  </sheetViews>
  <sheetFormatPr baseColWidth="10" defaultRowHeight="15"/>
  <cols>
    <col min="1" max="1" width="18.5703125" customWidth="1"/>
    <col min="2" max="2" width="11.42578125" style="1"/>
    <col min="3" max="3" width="6.28515625" customWidth="1"/>
    <col min="5" max="5" width="16.85546875" customWidth="1"/>
    <col min="6" max="6" width="5.5703125" customWidth="1"/>
  </cols>
  <sheetData>
    <row r="1" spans="1:6">
      <c r="A1" s="2" t="s">
        <v>0</v>
      </c>
      <c r="B1" s="3">
        <v>50001</v>
      </c>
      <c r="C1" s="4" t="s">
        <v>33</v>
      </c>
      <c r="D1" s="2">
        <v>0.47419825196266174</v>
      </c>
      <c r="E1" s="10" t="s">
        <v>34</v>
      </c>
      <c r="F1" s="4"/>
    </row>
    <row r="2" spans="1:6">
      <c r="A2" s="2" t="s">
        <v>1</v>
      </c>
      <c r="B2" s="5">
        <f>32+273.15</f>
        <v>305.14999999999998</v>
      </c>
      <c r="C2" s="4" t="s">
        <v>30</v>
      </c>
      <c r="D2" s="2">
        <v>464.05430406011305</v>
      </c>
      <c r="E2" s="10" t="s">
        <v>35</v>
      </c>
      <c r="F2" s="4" t="s">
        <v>59</v>
      </c>
    </row>
    <row r="3" spans="1:6">
      <c r="A3" s="2" t="s">
        <v>2</v>
      </c>
      <c r="B3" s="5">
        <f>500+273.15</f>
        <v>773.15</v>
      </c>
      <c r="C3" s="4" t="s">
        <v>29</v>
      </c>
      <c r="D3" s="2">
        <v>464.05430406011305</v>
      </c>
      <c r="E3" s="10" t="s">
        <v>36</v>
      </c>
      <c r="F3" s="4" t="s">
        <v>59</v>
      </c>
    </row>
    <row r="4" spans="1:6">
      <c r="A4" s="2" t="s">
        <v>3</v>
      </c>
      <c r="B4" s="3">
        <v>17300</v>
      </c>
      <c r="C4" s="4" t="s">
        <v>28</v>
      </c>
      <c r="D4" s="2">
        <v>300.61339164437061</v>
      </c>
      <c r="E4" s="10" t="s">
        <v>37</v>
      </c>
      <c r="F4" s="4" t="s">
        <v>59</v>
      </c>
    </row>
    <row r="5" spans="1:6">
      <c r="A5" s="2" t="s">
        <v>4</v>
      </c>
      <c r="B5" s="5" t="s">
        <v>31</v>
      </c>
      <c r="C5" s="4"/>
      <c r="D5" s="2">
        <v>345.44891928749928</v>
      </c>
      <c r="E5" s="10" t="s">
        <v>38</v>
      </c>
      <c r="F5" s="4" t="s">
        <v>30</v>
      </c>
    </row>
    <row r="6" spans="1:6">
      <c r="A6" s="2" t="s">
        <v>5</v>
      </c>
      <c r="B6" s="5">
        <f>500+273.15</f>
        <v>773.15</v>
      </c>
      <c r="C6" s="4"/>
      <c r="D6" s="2">
        <v>478.95007098153366</v>
      </c>
      <c r="E6" s="10" t="s">
        <v>39</v>
      </c>
      <c r="F6" s="4" t="s">
        <v>29</v>
      </c>
    </row>
    <row r="7" spans="1:6">
      <c r="A7" s="2" t="s">
        <v>6</v>
      </c>
      <c r="B7" s="6">
        <v>0</v>
      </c>
      <c r="C7" s="4"/>
      <c r="D7" s="2">
        <v>24998.91443426461</v>
      </c>
      <c r="E7" s="12" t="s">
        <v>40</v>
      </c>
      <c r="F7" s="4" t="s">
        <v>28</v>
      </c>
    </row>
    <row r="8" spans="1:6">
      <c r="A8" s="2" t="s">
        <v>7</v>
      </c>
      <c r="B8" s="6">
        <v>0</v>
      </c>
      <c r="C8" s="4"/>
      <c r="D8" s="2">
        <v>7615.1270634900038</v>
      </c>
      <c r="E8" s="12" t="s">
        <v>41</v>
      </c>
      <c r="F8" s="4" t="s">
        <v>28</v>
      </c>
    </row>
    <row r="9" spans="1:6">
      <c r="A9" s="2" t="s">
        <v>8</v>
      </c>
      <c r="B9" s="6">
        <v>0</v>
      </c>
      <c r="C9" s="4"/>
      <c r="D9" s="2">
        <v>24998.91443426461</v>
      </c>
      <c r="E9" s="10" t="s">
        <v>42</v>
      </c>
      <c r="F9" s="4" t="s">
        <v>28</v>
      </c>
    </row>
    <row r="10" spans="1:6">
      <c r="A10" s="2" t="s">
        <v>9</v>
      </c>
      <c r="B10" s="6">
        <v>0</v>
      </c>
      <c r="C10" s="4"/>
      <c r="D10" s="2">
        <v>7615.1270634900038</v>
      </c>
      <c r="E10" s="12" t="s">
        <v>43</v>
      </c>
      <c r="F10" s="4" t="s">
        <v>28</v>
      </c>
    </row>
    <row r="11" spans="1:6">
      <c r="A11" s="2" t="s">
        <v>10</v>
      </c>
      <c r="B11" s="6">
        <v>0</v>
      </c>
      <c r="C11" s="4"/>
      <c r="D11" s="2">
        <v>69691.185755128448</v>
      </c>
      <c r="E11" s="12" t="s">
        <v>44</v>
      </c>
      <c r="F11" s="4" t="s">
        <v>60</v>
      </c>
    </row>
    <row r="12" spans="1:6">
      <c r="A12" s="2" t="s">
        <v>11</v>
      </c>
      <c r="B12" s="5">
        <v>10000</v>
      </c>
      <c r="C12" s="4" t="s">
        <v>32</v>
      </c>
      <c r="D12" s="2">
        <v>464.05430406011305</v>
      </c>
      <c r="E12" s="12" t="s">
        <v>45</v>
      </c>
      <c r="F12" s="4" t="s">
        <v>59</v>
      </c>
    </row>
    <row r="13" spans="1:6">
      <c r="A13" s="2" t="s">
        <v>12</v>
      </c>
      <c r="B13" s="5">
        <v>0.89</v>
      </c>
      <c r="C13" s="4"/>
      <c r="D13" s="2">
        <v>464.05430406011305</v>
      </c>
      <c r="E13" s="12" t="s">
        <v>46</v>
      </c>
      <c r="F13" s="4" t="s">
        <v>59</v>
      </c>
    </row>
    <row r="14" spans="1:6">
      <c r="A14" s="2" t="s">
        <v>13</v>
      </c>
      <c r="B14" s="5">
        <v>0.89</v>
      </c>
      <c r="C14" s="4"/>
      <c r="D14" s="2">
        <v>468.30303168716256</v>
      </c>
      <c r="E14" s="12" t="s">
        <v>47</v>
      </c>
      <c r="F14" s="4" t="s">
        <v>29</v>
      </c>
    </row>
    <row r="15" spans="1:6">
      <c r="A15" s="2" t="s">
        <v>14</v>
      </c>
      <c r="B15" s="5">
        <v>0.93</v>
      </c>
      <c r="C15" s="4"/>
      <c r="D15" s="2">
        <v>696.13567087556908</v>
      </c>
      <c r="E15" s="12" t="s">
        <v>48</v>
      </c>
      <c r="F15" s="4" t="s">
        <v>29</v>
      </c>
    </row>
    <row r="16" spans="1:6">
      <c r="A16" s="2" t="s">
        <v>15</v>
      </c>
      <c r="B16" s="5">
        <v>0.93</v>
      </c>
      <c r="C16" s="4"/>
      <c r="D16" s="2">
        <v>24998.91443426461</v>
      </c>
      <c r="E16" s="12" t="s">
        <v>49</v>
      </c>
      <c r="F16" s="4" t="s">
        <v>28</v>
      </c>
    </row>
    <row r="17" spans="1:6">
      <c r="A17" s="2" t="s">
        <v>16</v>
      </c>
      <c r="B17" s="5">
        <v>15</v>
      </c>
      <c r="C17" s="4" t="s">
        <v>58</v>
      </c>
      <c r="D17" s="2">
        <v>7615.1270634900038</v>
      </c>
      <c r="E17" s="12" t="s">
        <v>50</v>
      </c>
      <c r="F17" s="4" t="s">
        <v>28</v>
      </c>
    </row>
    <row r="18" spans="1:6">
      <c r="A18" s="2" t="s">
        <v>17</v>
      </c>
      <c r="B18" s="5">
        <v>25000</v>
      </c>
      <c r="C18" s="4" t="s">
        <v>28</v>
      </c>
      <c r="D18" s="2">
        <v>24998.91443426461</v>
      </c>
      <c r="E18" s="12" t="s">
        <v>51</v>
      </c>
      <c r="F18" s="4" t="s">
        <v>28</v>
      </c>
    </row>
    <row r="19" spans="1:6">
      <c r="A19" s="2" t="s">
        <v>18</v>
      </c>
      <c r="B19" s="5">
        <v>25000</v>
      </c>
      <c r="C19" s="4" t="s">
        <v>28</v>
      </c>
      <c r="D19" s="2">
        <v>7615.1270634900038</v>
      </c>
      <c r="E19" s="12" t="s">
        <v>52</v>
      </c>
      <c r="F19" s="4" t="s">
        <v>28</v>
      </c>
    </row>
    <row r="20" spans="1:6">
      <c r="A20" s="2" t="s">
        <v>19</v>
      </c>
      <c r="B20" s="5" t="s">
        <v>31</v>
      </c>
      <c r="C20" s="4"/>
      <c r="D20" s="2">
        <v>114633.26714612826</v>
      </c>
      <c r="E20" s="12" t="s">
        <v>53</v>
      </c>
      <c r="F20" s="4" t="s">
        <v>60</v>
      </c>
    </row>
    <row r="21" spans="1:6">
      <c r="A21" s="2" t="s">
        <v>20</v>
      </c>
      <c r="B21" s="3">
        <v>3</v>
      </c>
      <c r="C21" s="4"/>
      <c r="D21" s="2">
        <v>5494.7586655392752</v>
      </c>
      <c r="E21" s="12" t="s">
        <v>54</v>
      </c>
      <c r="F21" s="4" t="s">
        <v>32</v>
      </c>
    </row>
    <row r="22" spans="1:6">
      <c r="A22" s="2" t="s">
        <v>21</v>
      </c>
      <c r="B22" s="5" t="s">
        <v>31</v>
      </c>
      <c r="C22" s="4"/>
      <c r="D22" s="2">
        <v>4505.2174215873383</v>
      </c>
      <c r="E22" s="12" t="s">
        <v>55</v>
      </c>
      <c r="F22" s="4" t="s">
        <v>32</v>
      </c>
    </row>
    <row r="23" spans="1:6">
      <c r="A23" s="2" t="s">
        <v>22</v>
      </c>
      <c r="B23" s="5">
        <v>0.1</v>
      </c>
      <c r="C23" s="4"/>
      <c r="D23" s="2">
        <v>0.93185751040959974</v>
      </c>
      <c r="E23" s="12" t="s">
        <v>56</v>
      </c>
      <c r="F23" s="4" t="s">
        <v>61</v>
      </c>
    </row>
    <row r="24" spans="1:6">
      <c r="A24" s="2" t="s">
        <v>23</v>
      </c>
      <c r="B24" s="5" t="s">
        <v>31</v>
      </c>
      <c r="C24" s="4"/>
      <c r="D24" s="2">
        <v>0.95326815625584482</v>
      </c>
      <c r="E24" s="12" t="s">
        <v>57</v>
      </c>
      <c r="F24" s="4" t="s">
        <v>61</v>
      </c>
    </row>
    <row r="25" spans="1:6">
      <c r="A25" s="2" t="s">
        <v>24</v>
      </c>
      <c r="B25" s="5">
        <v>0.1</v>
      </c>
      <c r="C25" s="4"/>
      <c r="D25" s="2"/>
      <c r="E25" s="10"/>
      <c r="F25" s="4"/>
    </row>
    <row r="26" spans="1:6">
      <c r="A26" s="2" t="s">
        <v>25</v>
      </c>
      <c r="B26" s="5" t="s">
        <v>31</v>
      </c>
      <c r="C26" s="4"/>
      <c r="D26" s="2"/>
      <c r="E26" s="10"/>
      <c r="F26" s="4"/>
    </row>
    <row r="27" spans="1:6">
      <c r="A27" s="2" t="s">
        <v>26</v>
      </c>
      <c r="B27" s="5">
        <v>1.0000000000000001E-5</v>
      </c>
      <c r="C27" s="4"/>
      <c r="D27" s="2"/>
      <c r="E27" s="10"/>
      <c r="F27" s="4"/>
    </row>
    <row r="28" spans="1:6" ht="15.75" thickBot="1">
      <c r="A28" s="7" t="s">
        <v>27</v>
      </c>
      <c r="B28" s="8">
        <v>9.9999999999999995E-8</v>
      </c>
      <c r="C28" s="9"/>
      <c r="D28" s="7"/>
      <c r="E28" s="11"/>
      <c r="F28" s="9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kljh</dc:creator>
  <cp:lastModifiedBy>kljh</cp:lastModifiedBy>
  <dcterms:created xsi:type="dcterms:W3CDTF">2015-10-23T12:46:39Z</dcterms:created>
  <dcterms:modified xsi:type="dcterms:W3CDTF">2016-02-18T19:22:51Z</dcterms:modified>
</cp:coreProperties>
</file>