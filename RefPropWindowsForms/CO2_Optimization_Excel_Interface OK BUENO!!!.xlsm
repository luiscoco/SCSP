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19980" windowHeight="7815"/>
  </bookViews>
  <sheets>
    <sheet name="Hoja1" sheetId="1" r:id="rId1"/>
    <sheet name="Hoja2" sheetId="2" r:id="rId2"/>
    <sheet name="Hoja3" sheetId="3" r:id="rId3"/>
  </sheets>
  <functionGroups/>
  <calcPr calcId="125725"/>
</workbook>
</file>

<file path=xl/calcChain.xml><?xml version="1.0" encoding="utf-8"?>
<calcChain xmlns="http://schemas.openxmlformats.org/spreadsheetml/2006/main">
  <c r="B3" i="1"/>
  <c r="B6"/>
  <c r="B2"/>
</calcChain>
</file>

<file path=xl/sharedStrings.xml><?xml version="1.0" encoding="utf-8"?>
<sst xmlns="http://schemas.openxmlformats.org/spreadsheetml/2006/main" count="40" uniqueCount="34">
  <si>
    <t>W_dot_net</t>
  </si>
  <si>
    <t>T_mc_in</t>
  </si>
  <si>
    <t>T_t_in</t>
  </si>
  <si>
    <t>P_rhx_in_guess</t>
  </si>
  <si>
    <t>fixed_P_rhx_in</t>
  </si>
  <si>
    <t>T_rht_in</t>
  </si>
  <si>
    <t>DP_LT</t>
  </si>
  <si>
    <t>DP_HT</t>
  </si>
  <si>
    <t>DP_PC</t>
  </si>
  <si>
    <t>DP_PHX</t>
  </si>
  <si>
    <t>DP_RHX</t>
  </si>
  <si>
    <t>UA_rec_total</t>
  </si>
  <si>
    <t>eta_mc</t>
  </si>
  <si>
    <t>eta_rc</t>
  </si>
  <si>
    <t>eta_t</t>
  </si>
  <si>
    <t>eta_trh</t>
  </si>
  <si>
    <t>N_sub_hxrs</t>
  </si>
  <si>
    <t>P_high_limit</t>
  </si>
  <si>
    <t>P_mc_out_guess</t>
  </si>
  <si>
    <t>fixed_P_mc_out</t>
  </si>
  <si>
    <t>PR_mc_guess</t>
  </si>
  <si>
    <t>fixed_PR_mc</t>
  </si>
  <si>
    <t>recomp_frac_guess</t>
  </si>
  <si>
    <t>fixed_recomp_frac</t>
  </si>
  <si>
    <t>LT_frac_guess</t>
  </si>
  <si>
    <t>fixed_LT_frac</t>
  </si>
  <si>
    <t>tol</t>
  </si>
  <si>
    <t>opt_tol</t>
  </si>
  <si>
    <t>kPa</t>
  </si>
  <si>
    <t>K</t>
  </si>
  <si>
    <t xml:space="preserve">K </t>
  </si>
  <si>
    <t>false</t>
  </si>
  <si>
    <t>kW/K</t>
  </si>
  <si>
    <t xml:space="preserve">kW </t>
  </si>
</sst>
</file>

<file path=xl/styles.xml><?xml version="1.0" encoding="utf-8"?>
<styleSheet xmlns="http://schemas.openxmlformats.org/spreadsheetml/2006/main">
  <numFmts count="1">
    <numFmt numFmtId="164" formatCode="0.0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C28"/>
  <sheetViews>
    <sheetView tabSelected="1" zoomScale="80" zoomScaleNormal="80" workbookViewId="0">
      <selection activeCell="E6" sqref="E6"/>
    </sheetView>
  </sheetViews>
  <sheetFormatPr baseColWidth="10" defaultRowHeight="15"/>
  <cols>
    <col min="1" max="1" width="18.5703125" customWidth="1"/>
    <col min="2" max="2" width="11.42578125" style="1"/>
  </cols>
  <sheetData>
    <row r="1" spans="1:3">
      <c r="A1" t="s">
        <v>0</v>
      </c>
      <c r="B1" s="2">
        <v>50001</v>
      </c>
      <c r="C1" t="s">
        <v>33</v>
      </c>
    </row>
    <row r="2" spans="1:3">
      <c r="A2" t="s">
        <v>1</v>
      </c>
      <c r="B2" s="1">
        <f>32+273.15</f>
        <v>305.14999999999998</v>
      </c>
      <c r="C2" t="s">
        <v>30</v>
      </c>
    </row>
    <row r="3" spans="1:3">
      <c r="A3" t="s">
        <v>2</v>
      </c>
      <c r="B3" s="1">
        <f>400+273.15</f>
        <v>673.15</v>
      </c>
      <c r="C3" t="s">
        <v>29</v>
      </c>
    </row>
    <row r="4" spans="1:3">
      <c r="A4" t="s">
        <v>3</v>
      </c>
      <c r="B4" s="2">
        <v>18000</v>
      </c>
      <c r="C4" t="s">
        <v>28</v>
      </c>
    </row>
    <row r="5" spans="1:3">
      <c r="A5" t="s">
        <v>4</v>
      </c>
      <c r="B5" s="1" t="s">
        <v>31</v>
      </c>
    </row>
    <row r="6" spans="1:3">
      <c r="A6" t="s">
        <v>5</v>
      </c>
      <c r="B6" s="1">
        <f>550+273.15</f>
        <v>823.15</v>
      </c>
    </row>
    <row r="7" spans="1:3">
      <c r="A7" t="s">
        <v>6</v>
      </c>
      <c r="B7" s="2">
        <v>0</v>
      </c>
    </row>
    <row r="8" spans="1:3">
      <c r="A8" t="s">
        <v>7</v>
      </c>
      <c r="B8" s="2">
        <v>0</v>
      </c>
    </row>
    <row r="9" spans="1:3">
      <c r="A9" t="s">
        <v>8</v>
      </c>
      <c r="B9" s="2">
        <v>0</v>
      </c>
    </row>
    <row r="10" spans="1:3">
      <c r="A10" t="s">
        <v>9</v>
      </c>
      <c r="B10" s="2">
        <v>0</v>
      </c>
    </row>
    <row r="11" spans="1:3">
      <c r="A11" t="s">
        <v>10</v>
      </c>
      <c r="B11" s="2">
        <v>0</v>
      </c>
    </row>
    <row r="12" spans="1:3">
      <c r="A12" t="s">
        <v>11</v>
      </c>
      <c r="B12" s="1">
        <v>10000</v>
      </c>
      <c r="C12" t="s">
        <v>32</v>
      </c>
    </row>
    <row r="13" spans="1:3">
      <c r="A13" t="s">
        <v>12</v>
      </c>
      <c r="B13" s="1">
        <v>0.89</v>
      </c>
    </row>
    <row r="14" spans="1:3">
      <c r="A14" t="s">
        <v>13</v>
      </c>
      <c r="B14" s="1">
        <v>0.89</v>
      </c>
    </row>
    <row r="15" spans="1:3">
      <c r="A15" t="s">
        <v>14</v>
      </c>
      <c r="B15" s="1">
        <v>0.93</v>
      </c>
    </row>
    <row r="16" spans="1:3">
      <c r="A16" t="s">
        <v>15</v>
      </c>
      <c r="B16" s="1">
        <v>0.93</v>
      </c>
    </row>
    <row r="17" spans="1:3">
      <c r="A17" t="s">
        <v>16</v>
      </c>
      <c r="B17" s="1">
        <v>15</v>
      </c>
    </row>
    <row r="18" spans="1:3">
      <c r="A18" t="s">
        <v>17</v>
      </c>
      <c r="B18" s="1">
        <v>25000</v>
      </c>
      <c r="C18" t="s">
        <v>28</v>
      </c>
    </row>
    <row r="19" spans="1:3">
      <c r="A19" t="s">
        <v>18</v>
      </c>
      <c r="B19" s="1">
        <v>25000</v>
      </c>
      <c r="C19" t="s">
        <v>28</v>
      </c>
    </row>
    <row r="20" spans="1:3">
      <c r="A20" t="s">
        <v>19</v>
      </c>
      <c r="B20" s="1" t="s">
        <v>31</v>
      </c>
    </row>
    <row r="21" spans="1:3">
      <c r="A21" t="s">
        <v>20</v>
      </c>
      <c r="B21" s="2">
        <v>3</v>
      </c>
    </row>
    <row r="22" spans="1:3">
      <c r="A22" t="s">
        <v>21</v>
      </c>
      <c r="B22" s="1" t="s">
        <v>31</v>
      </c>
    </row>
    <row r="23" spans="1:3">
      <c r="A23" t="s">
        <v>22</v>
      </c>
      <c r="B23" s="1">
        <v>0.1</v>
      </c>
    </row>
    <row r="24" spans="1:3">
      <c r="A24" t="s">
        <v>23</v>
      </c>
      <c r="B24" s="1" t="s">
        <v>31</v>
      </c>
    </row>
    <row r="25" spans="1:3">
      <c r="A25" t="s">
        <v>24</v>
      </c>
      <c r="B25" s="1">
        <v>0.1</v>
      </c>
    </row>
    <row r="26" spans="1:3">
      <c r="A26" t="s">
        <v>25</v>
      </c>
      <c r="B26" s="1" t="s">
        <v>31</v>
      </c>
    </row>
    <row r="27" spans="1:3">
      <c r="A27" t="s">
        <v>26</v>
      </c>
      <c r="B27" s="1">
        <v>1.0000000000000001E-5</v>
      </c>
    </row>
    <row r="28" spans="1:3">
      <c r="A28" t="s">
        <v>27</v>
      </c>
      <c r="B28" s="1">
        <v>9.9999999999999995E-8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kljh</dc:creator>
  <cp:lastModifiedBy>kljh</cp:lastModifiedBy>
  <dcterms:created xsi:type="dcterms:W3CDTF">2015-10-23T12:46:39Z</dcterms:created>
  <dcterms:modified xsi:type="dcterms:W3CDTF">2015-11-15T12:26:19Z</dcterms:modified>
</cp:coreProperties>
</file>